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Workload" sheetId="1" state="visible" r:id="rId1"/>
    <sheet xmlns:r="http://schemas.openxmlformats.org/officeDocument/2006/relationships" name="Workload Charts" sheetId="2" state="visible" r:id="rId2"/>
    <sheet xmlns:r="http://schemas.openxmlformats.org/officeDocument/2006/relationships" name="Detailed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wrapText="1"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Workload Summary: Teaching, Research &amp; Administration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'Staff Workload'!D1</f>
            </strRef>
          </tx>
          <spPr>
            <a:ln xmlns:a="http://schemas.openxmlformats.org/drawingml/2006/main">
              <a:prstDash val="solid"/>
            </a:ln>
          </spPr>
          <cat>
            <strRef>
              <f>'Staff Workload'!$A$2:$A$56</f>
            </strRef>
          </cat>
          <val>
            <numRef>
              <f>'Staff Workload'!$D$2:$D$56</f>
            </numRef>
          </val>
        </ser>
        <ser>
          <idx val="1"/>
          <order val="1"/>
          <tx>
            <strRef>
              <f>'Staff Workload'!E1</f>
            </strRef>
          </tx>
          <spPr>
            <a:ln xmlns:a="http://schemas.openxmlformats.org/drawingml/2006/main">
              <a:prstDash val="solid"/>
            </a:ln>
          </spPr>
          <cat>
            <strRef>
              <f>'Staff Workload'!$A$2:$A$56</f>
            </strRef>
          </cat>
          <val>
            <numRef>
              <f>'Staff Workload'!$E$2:$E$56</f>
            </numRef>
          </val>
        </ser>
        <ser>
          <idx val="2"/>
          <order val="2"/>
          <tx>
            <strRef>
              <f>'Staff Workload'!F1</f>
            </strRef>
          </tx>
          <spPr>
            <a:ln xmlns:a="http://schemas.openxmlformats.org/drawingml/2006/main">
              <a:prstDash val="solid"/>
            </a:ln>
          </spPr>
          <cat>
            <strRef>
              <f>'Staff Workload'!$A$2:$A$56</f>
            </strRef>
          </cat>
          <val>
            <numRef>
              <f>'Staff Workload'!$F$2:$F$56</f>
            </numRef>
          </val>
        </ser>
        <dLbls>
          <showVal val="1"/>
          <showCatName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Staff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Detailed Workload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'Detailed Breakdown'!B1</f>
            </strRef>
          </tx>
          <spPr>
            <a:ln xmlns:a="http://schemas.openxmlformats.org/drawingml/2006/main">
              <a:prstDash val="solid"/>
            </a:ln>
          </spPr>
          <cat>
            <strRef>
              <f>'Detailed Breakdown'!$A$2:$A$56</f>
            </strRef>
          </cat>
          <val>
            <numRef>
              <f>'Detailed Breakdown'!$B$2:$B$56</f>
            </numRef>
          </val>
        </ser>
        <ser>
          <idx val="1"/>
          <order val="1"/>
          <tx>
            <strRef>
              <f>'Detailed Breakdown'!C1</f>
            </strRef>
          </tx>
          <spPr>
            <a:ln xmlns:a="http://schemas.openxmlformats.org/drawingml/2006/main">
              <a:prstDash val="solid"/>
            </a:ln>
          </spPr>
          <cat>
            <strRef>
              <f>'Detailed Breakdown'!$A$2:$A$56</f>
            </strRef>
          </cat>
          <val>
            <numRef>
              <f>'Detailed Breakdown'!$C$2:$C$56</f>
            </numRef>
          </val>
        </ser>
        <ser>
          <idx val="2"/>
          <order val="2"/>
          <tx>
            <strRef>
              <f>'Detailed Breakdown'!D1</f>
            </strRef>
          </tx>
          <spPr>
            <a:ln xmlns:a="http://schemas.openxmlformats.org/drawingml/2006/main">
              <a:prstDash val="solid"/>
            </a:ln>
          </spPr>
          <cat>
            <strRef>
              <f>'Detailed Breakdown'!$A$2:$A$56</f>
            </strRef>
          </cat>
          <val>
            <numRef>
              <f>'Detailed Breakdown'!$D$2:$D$56</f>
            </numRef>
          </val>
        </ser>
        <dLbls>
          <showVal val="1"/>
          <showCatName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Staff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8800000" cy="21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28800000" cy="21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6" customWidth="1" min="4" max="4"/>
    <col width="16" customWidth="1" min="5" max="5"/>
    <col width="14" customWidth="1" min="6" max="6"/>
    <col width="40" customWidth="1" min="7" max="7"/>
    <col width="35" customWidth="1" min="8" max="8"/>
    <col width="30" customWidth="1" min="9" max="9"/>
    <col width="25" customWidth="1" min="10" max="10"/>
    <col width="25" customWidth="1" min="11" max="11"/>
  </cols>
  <sheetData>
    <row r="1">
      <c r="A1" s="1" t="inlineStr">
        <is>
          <t>Name</t>
        </is>
      </c>
      <c r="B1" s="1" t="inlineStr">
        <is>
          <t>FTE</t>
        </is>
      </c>
      <c r="C1" s="1" t="inlineStr">
        <is>
          <t>Total Hours</t>
        </is>
      </c>
      <c r="D1" s="1" t="inlineStr">
        <is>
          <t>Teaching Hours</t>
        </is>
      </c>
      <c r="E1" s="1" t="inlineStr">
        <is>
          <t>Research Hours</t>
        </is>
      </c>
      <c r="F1" s="1" t="inlineStr">
        <is>
          <t>Admin Hours</t>
        </is>
      </c>
      <c r="G1" s="1" t="inlineStr">
        <is>
          <t>Teaching Detail</t>
        </is>
      </c>
      <c r="H1" s="1" t="inlineStr">
        <is>
          <t>Research Detail</t>
        </is>
      </c>
      <c r="I1" s="1" t="inlineStr">
        <is>
          <t>Admin Detail</t>
        </is>
      </c>
      <c r="J1" s="1" t="inlineStr">
        <is>
          <t>Assumptions</t>
        </is>
      </c>
      <c r="K1" s="1" t="inlineStr">
        <is>
          <t>Missing Data</t>
        </is>
      </c>
    </row>
    <row r="2">
      <c r="A2" s="2" t="inlineStr">
        <is>
          <t>Dawn H Wood</t>
        </is>
      </c>
      <c r="B2" s="2" t="n">
        <v>1</v>
      </c>
      <c r="C2" s="3" t="n">
        <v>835.8833333333333</v>
      </c>
      <c r="D2" s="3" t="n">
        <v>496.6833333333333</v>
      </c>
      <c r="E2" s="3" t="n">
        <v>164.2</v>
      </c>
      <c r="F2" s="3" t="n">
        <v>175</v>
      </c>
      <c r="G2" s="4" t="inlineStr">
        <is>
          <t>SOF1 (20cr): Standard (2.5x): 15.0h; Practicals: 5 groups shared by 3 lecturers, 11w - Standard: 5.0h/week @ 2.5x + repeats (2 grps @ 1.5x); 10w @ 1.5x (weeks 2, 3, 4, 5, 6...); Total: 77.0h; 2 paper(s) set (1 assessment(s)): 15.0h each (2.5h main + 2.5h resit); 327 scripts + 65 resits x 0.330h = 129.4h total (107.9h initial + 21.4h resit), 43.1h per teacher; SOF2 (20cr): Standard (2.5x): 15.8h; Practicals: 5 groups shared by 3 lecturers, 11w - New: 5.0h/week @ 5x + repeats; Standard: 2.5h/week @ 2.5x + repeats (2 grps @ 1.5x); 10w @ 1.5x (weeks 2, 3, 4, 5, 6...); New: 66.0h, Standard: 38.5h; 4 paper(s) set (2 assessment(s)): 15.0h each (5.0h main + 5.0h resit); 328 scripts + 65 resits x 0.330h = 129.7h total (108.2h initial + 21.4h resit), 43.2h per teacher; Project setting (fixed): 6.0h; Pastoral: 32 students x 3h = 96.0h; Projects: 9 projects x UG (16h) = 144.0h</t>
        </is>
      </c>
      <c r="H2" s="4" t="inlineStr">
        <is>
          <t>No research activities recorded</t>
        </is>
      </c>
      <c r="I2" s="4" t="inlineStr">
        <is>
          <t>Engagement (email/meetings): 100.0h; Personal development: 75.0h (FTE: 1.00)</t>
        </is>
      </c>
      <c r="J2" s="5" t="inlineStr">
        <is>
          <t>None</t>
        </is>
      </c>
      <c r="K2" s="5" t="inlineStr">
        <is>
          <t>No administrative roles assigned</t>
        </is>
      </c>
    </row>
    <row r="3">
      <c r="A3" s="2" t="inlineStr">
        <is>
          <t>Paul Cairns</t>
        </is>
      </c>
      <c r="B3" s="2" t="n">
        <v>1</v>
      </c>
      <c r="C3" s="3" t="n">
        <v>1608.945</v>
      </c>
      <c r="D3" s="3" t="n">
        <v>257.145</v>
      </c>
      <c r="E3" s="3" t="n">
        <v>1012.6</v>
      </c>
      <c r="F3" s="3" t="n">
        <v>339.2</v>
      </c>
      <c r="G3" s="4" t="inlineStr">
        <is>
          <t>HCIN (20cr): Standard (2.5x): 15.0h; Practicals: 4 groups shared by 3 lecturers, 11w - Standard: 5.0h/week @ 2.5x + repeats (1 grps @ 1.5x); 10w @ 1.5x (weeks 2, 3, 4, 5, 6...); Total: 66.0h; 4 paper(s) set (2 assessment(s)): 15.0h each (5.0h main + 5.0h resit); 282 scripts + 56 resits x 0.330h = 111.5h total (93.1h initial + 18.5h resit), 37.2h per teacher; GODS (20cr): Standard (2.5x): 22.5h; Practicals: 2 groups shared by 2 lecturers, 11w - Standard: 5.0h/week @ 2.5x + repeats (0 grps @ 1.5x); 10w @ 1.5x (weeks 2, 3, 4, 5, 6...); Total: 55.0h; 2 paper(s) set (1 assessment(s)): 15.0h each (3.8h main + 3.8h resit); 18 scripts + 3 resits x 0.330h = 6.9h total (5.9h initial + 1.0h resit), 3.5h per teacher; Project setting (fixed): 6.0h; Pastoral: 5 students x 3h = 15.0h; Projects: 1 projects x UG (16h) = 16.0h</t>
        </is>
      </c>
      <c r="H3" s="4" t="inlineStr">
        <is>
          <t>PhD supervision (primary supervisor, co-supervisor &amp; assessor) (4 × 80 + 3 × 48 + 7 × 8): 4x full-time PhD student × 80h/FTE; 3x part-time PhD student × 48h/FTE; 7x assessor (8h each) = 520.0h; Grant BiB Centre for Social Change: 0% of 1642h = 0.0h; Grant IGGI: 20% of 1642h = 328.4h</t>
        </is>
      </c>
      <c r="I3" s="4" t="inlineStr">
        <is>
          <t>Other PLs: 5% of 1642h = 82.1h; REF Lead: 5% of 1642h = 82.1h; Engagement (email/meetings): 100.0h; Personal development: 75.0h (FTE: 1.00)</t>
        </is>
      </c>
      <c r="J3" s="5" t="inlineStr">
        <is>
          <t>None</t>
        </is>
      </c>
      <c r="K3" s="5" t="inlineStr">
        <is>
          <t>None</t>
        </is>
      </c>
    </row>
    <row r="4">
      <c r="A4" s="2" t="inlineStr">
        <is>
          <t>Mike O'Dea</t>
        </is>
      </c>
      <c r="B4" s="2" t="n">
        <v>1</v>
      </c>
      <c r="C4" s="3" t="n">
        <v>845.875</v>
      </c>
      <c r="D4" s="3" t="n">
        <v>424.575</v>
      </c>
      <c r="E4" s="3" t="n">
        <v>164.2</v>
      </c>
      <c r="F4" s="3" t="n">
        <v>257.1</v>
      </c>
      <c r="G4" s="4" t="inlineStr">
        <is>
          <t>CBDA (20cr): Standard (2.5x): 22.5h; Practicals: 3 groups shared by 2 lecturers, 11w - New: 10.0h/week @ 5x + repeats; Standard: 5.0h/week @ 2.5x + repeats (1 grps @ 1.5x); 10w @ 1.5x (weeks 2, 3, 4, 5, 6...); New: 126.5h, Standard: 71.5h; 2 paper(s) set (1 assessment(s)): 15.0h each (3.8h main + 3.8h resit); 29 scripts + 5 resits x 0.330h = 11.2h total (9.6h initial + 1.7h resit), 5.6h per teacher; GODS (20cr): Standard (2.5x): 22.5h; Practicals: 2 groups shared by 2 lecturers, 11w - Standard: 5.0h/week @ 2.5x + repeats (0 grps @ 1.5x); 10w @ 1.5x (weeks 2, 3, 4, 5, 6...); Total: 55.0h; 2 paper(s) set (1 assessment(s)): 15.0h each (3.8h main + 3.8h resit); 18 scripts + 3 resits x 0.330h = 6.9h total (5.9h initial + 1.0h resit), 3.5h per teacher; Project setting (fixed): 6.0h; Pastoral: 20 students (default) x 3h = 60.0h; Projects: 10 projects x UG (16h) = 160.0h</t>
        </is>
      </c>
      <c r="H4" s="4" t="inlineStr">
        <is>
          <t>No research activities recorded</t>
        </is>
      </c>
      <c r="I4" s="4" t="inlineStr">
        <is>
          <t>Other PLs: 5% of 1642h = 82.1h; Engagement (email/meetings): 100.0h; Personal development: 75.0h (FTE: 1.00)</t>
        </is>
      </c>
      <c r="J4" s="5" t="inlineStr">
        <is>
          <t>None</t>
        </is>
      </c>
      <c r="K4" s="5" t="inlineStr">
        <is>
          <t>None</t>
        </is>
      </c>
    </row>
    <row r="5">
      <c r="A5" s="2" t="inlineStr">
        <is>
          <t>Alena Denisova</t>
        </is>
      </c>
      <c r="B5" s="2" t="n">
        <v>1</v>
      </c>
      <c r="C5" s="3" t="n">
        <v>1346.015</v>
      </c>
      <c r="D5" s="3" t="n">
        <v>398.415</v>
      </c>
      <c r="E5" s="3" t="n">
        <v>444.2</v>
      </c>
      <c r="F5" s="3" t="n">
        <v>503.4</v>
      </c>
      <c r="G5" s="4" t="inlineStr">
        <is>
          <t>IDEV (20cr): Standard (2.5x): 22.5h; Practicals: 1 groups shared by 2 lecturers, 11w - Standard: 5.0h/week @ 2.5x + repeats (0 grps @ 1.5x); 10w @ 1.5x (weeks 2, 3, 4, 5, 6...); Total: 55.0h; 4 paper(s) set (2 assessment(s)): 15.0h each (7.5h main + 7.5h resit); 10 scripts + 2 resits x 0.330h = 4.0h total (3.3h initial + 0.7h resit), 2.0h per teacher; PLEI (20cr): Standard (2.5x): 22.5h; Practicals: 1 groups shared by 2 lecturers, 11w - Standard: 5.0h/week @ 2.5x + repeats (0 grps @ 1.5x); 10w @ 1.5x (weeks 2, 3, 4, 5, 6...); Total: 55.0h; 4 paper(s) set (2 assessment(s)): 15.0h each (7.5h main + 7.5h resit); 33 scripts + 6 resits x 0.330h = 12.9h total (10.9h initial + 2.0h resit), 6.4h per teacher; Project setting (fixed): 6.0h; Pastoral: 27 students x 3h = 81.0h; Projects: 7 projects x UG (16h) = 112.0h</t>
        </is>
      </c>
      <c r="H5" s="4" t="inlineStr">
        <is>
          <t>PhD supervision (primary supervisor, co-supervisor &amp; assessor) (1 × 80 + 4 × 48 + 1 × 8): 1x full-time PhD student × 80h/FTE; 4x part-time PhD student × 48h/FTE; 1x assessor (8h each) = 280.0h</t>
        </is>
      </c>
      <c r="I5" s="4" t="inlineStr">
        <is>
          <t>Ethics Committee Chair: 20% of 1642h = 328.4h; Engagement (email/meetings): 100.0h; Personal development: 75.0h (FTE: 1.00)</t>
        </is>
      </c>
      <c r="J5" s="5" t="inlineStr">
        <is>
          <t>Module had 0 students - marking not calculated</t>
        </is>
      </c>
      <c r="K5" s="5" t="inlineStr">
        <is>
          <t>None</t>
        </is>
      </c>
    </row>
    <row r="6">
      <c r="A6" s="2" t="inlineStr">
        <is>
          <t>Yuchen Zhao</t>
        </is>
      </c>
      <c r="B6" s="2" t="n">
        <v>1</v>
      </c>
      <c r="C6" s="3" t="n">
        <v>813.65</v>
      </c>
      <c r="D6" s="3" t="n">
        <v>376.35</v>
      </c>
      <c r="E6" s="3" t="n">
        <v>180.2</v>
      </c>
      <c r="F6" s="3" t="n">
        <v>257.1</v>
      </c>
      <c r="G6" s="4" t="inlineStr">
        <is>
          <t>NETS (20cr): Standard (2.5x): 22.5h; Practicals: 2 groups shared by 2 lecturers, 5w - Standard: 5.0h/week @ 2.5x + repeats (0 grps @ 1.5x); 4w @ 1.5x (weeks 4, 5, 7, 9); Total: 25.0h; 2 paper(s) set (1 assessment(s)): 15.0h each (3.8h main + 3.8h resit); 103 scripts + 20 resits x 0.330h = 40.6h total (34.0h initial + 6.6h resit), 20.3h per teacher; EHAC (20cr): Standard (2.5x): 22.5h; Practicals: 2 groups shared by 2 lecturers, 11w - Standard: 5.0h/week @ 2.5x + repeats (0 grps @ 1.5x); 10w @ 1.5x (weeks 2, 3, 4, 5, 6...); Total: 55.0h; 4 paper(s) set (2 assessment(s)): 15.0h each (7.5h main + 7.5h resit); 56 scripts + 11 resits x 0.330h = 22.1h total (18.5h initial + 3.6h resit), 11.1h per teacher; Project setting (fixed): 6.0h; Pastoral: 25 students x 3h = 75.0h; Projects: 7 projects x UG (16h) = 112.0h</t>
        </is>
      </c>
      <c r="H6" s="4" t="inlineStr">
        <is>
          <t>PhD supervision (primary supervisor, co-supervisor &amp; assessor) (2 × 8): 2x assessor (8h each) = 16.0h</t>
        </is>
      </c>
      <c r="I6" s="4" t="inlineStr">
        <is>
          <t>Other PLs: 5% of 1642h = 82.1h; Engagement (email/meetings): 100.0h; Personal development: 75.0h (FTE: 1.00)</t>
        </is>
      </c>
      <c r="J6" s="5" t="inlineStr">
        <is>
          <t>None</t>
        </is>
      </c>
      <c r="K6" s="5" t="inlineStr">
        <is>
          <t>None</t>
        </is>
      </c>
    </row>
    <row r="7">
      <c r="A7" s="2" t="inlineStr">
        <is>
          <t>Katrina Attwood</t>
        </is>
      </c>
      <c r="B7" s="2" t="n">
        <v>1</v>
      </c>
      <c r="C7" s="3" t="n">
        <v>1160.16</v>
      </c>
      <c r="D7" s="3" t="n">
        <v>444.56</v>
      </c>
      <c r="E7" s="3" t="n">
        <v>212.2</v>
      </c>
      <c r="F7" s="3" t="n">
        <v>503.4</v>
      </c>
      <c r="G7" s="4" t="inlineStr">
        <is>
          <t>HCIN (20cr): Standard (2.5x): 15.0h; Practicals: 4 groups shared by 3 lecturers, 11w - Standard: 5.0h/week @ 2.5x + repeats (1 grps @ 1.5x); 10w @ 1.5x (weeks 2, 3, 4, 5, 6...); Total: 66.0h; 4 paper(s) set (2 assessment(s)): 15.0h each (5.0h main + 5.0h resit); 282 scripts + 56 resits x 0.330h = 111.5h total (93.1h initial + 18.5h resit), 37.2h per teacher; TECC (20cr): Standard (2.5x): 22.5h; Practicals: 2 groups shared by 2 lecturers, 11w - Standard: 5.0h/week @ 2.5x + repeats (0 grps @ 1.5x); 10w @ 1.5x (weeks 2, 3, 4, 5, 6...); Total: 55.0h; 2 paper(s) set (1 assessment(s)): 15.0h each (3.8h main + 3.8h resit); 60 scripts + 12 resits x 0.330h = 23.8h total (19.8h initial + 4.0h resit), 11.9h per teacher; Project setting (fixed): 6.0h; Pastoral: 22 students x 3h = 66.0h; Projects: 9 projects x UG (16h) = 144.0h</t>
        </is>
      </c>
      <c r="H7" s="4" t="inlineStr">
        <is>
          <t>PhD supervision (primary supervisor, co-supervisor &amp; assessor) (1 × 48): 1x part-time PhD student × 48h/FTE = 48.0h</t>
        </is>
      </c>
      <c r="I7" s="4" t="inlineStr">
        <is>
          <t>Director of Students: 20% of 1642h = 328.4h; Engagement (email/meetings): 100.0h; Personal development: 75.0h (FTE: 1.00)</t>
        </is>
      </c>
      <c r="J7" s="5" t="inlineStr">
        <is>
          <t>Module had 0 students - marking not calculated</t>
        </is>
      </c>
      <c r="K7" s="5" t="inlineStr">
        <is>
          <t>None</t>
        </is>
      </c>
    </row>
    <row r="8">
      <c r="A8" s="2" t="inlineStr">
        <is>
          <t>Jacob Rigby</t>
        </is>
      </c>
      <c r="B8" s="2" t="n">
        <v>1</v>
      </c>
      <c r="C8" s="3" t="n">
        <v>983.28</v>
      </c>
      <c r="D8" s="3" t="n">
        <v>397.78</v>
      </c>
      <c r="E8" s="3" t="n">
        <v>246.3</v>
      </c>
      <c r="F8" s="3" t="n">
        <v>339.2</v>
      </c>
      <c r="G8" s="4" t="inlineStr">
        <is>
          <t>HCIN (20cr): Standard (2.5x): 15.0h; Practicals: 4 groups shared by 3 lecturers, 11w - Standard: 5.0h/week @ 2.5x + repeats (1 grps @ 1.5x); 10w @ 1.5x (weeks 2, 3, 4, 5, 6...); Total: 66.0h; 4 paper(s) set (2 assessment(s)): 15.0h each (5.0h main + 5.0h resit); 282 scripts + 56 resits x 0.330h = 111.5h total (93.1h initial + 18.5h resit), 37.2h per teacher; Projects (40cr): Standard (2.5x): 100.0h; 2 paper(s) set (1 assessment(s)): 15.0h each (7.5h main + 7.5h resit); 100 scripts + 20 resits x 0.330h = 39.6h total (33.0h initial + 6.6h resit), 39.6h per teacher; Project setting (fixed): 6.0h; Pastoral: 8 students x 3h = 24.0h; Projects: 5 projects x UG (16h) = 80.0h</t>
        </is>
      </c>
      <c r="H8" s="4" t="inlineStr">
        <is>
          <t>Grant EPSRC: Addressing environmental injustices through transdisciplinary science and technology: 5% of 1642h = 82.1h</t>
        </is>
      </c>
      <c r="I8" s="4" t="inlineStr">
        <is>
          <t>Taught Project Coordinator: 10% of 1642h = 164.2h; Engagement (email/meetings): 100.0h; Personal development: 75.0h (FTE: 1.00)</t>
        </is>
      </c>
      <c r="J8" s="5" t="inlineStr">
        <is>
          <t>Module had 0 students - marking not calculated</t>
        </is>
      </c>
      <c r="K8" s="5" t="inlineStr">
        <is>
          <t>None</t>
        </is>
      </c>
    </row>
    <row r="9">
      <c r="A9" s="2" t="inlineStr">
        <is>
          <t>Siamak Shahandashti</t>
        </is>
      </c>
      <c r="B9" s="2" t="n">
        <v>1</v>
      </c>
      <c r="C9" s="3" t="n">
        <v>1117.84</v>
      </c>
      <c r="D9" s="3" t="n">
        <v>300.34</v>
      </c>
      <c r="E9" s="3" t="n">
        <v>478.3</v>
      </c>
      <c r="F9" s="3" t="n">
        <v>339.2</v>
      </c>
      <c r="G9" s="4" t="inlineStr">
        <is>
          <t>THE1 (20cr): Standard (2.5x): 15.8h; Practicals: 4 groups shared by 3 lecturers, 11w - New: 5.0h/week @ 5x + repeats; Standard: 2.5h/week @ 2.5x + repeats (1 grps @ 1.5x); 10w @ 1.5x (weeks 2, 3, 4, 5, 6...); New: 60.5h, Standard: 33.0h; 2 paper(s) set (1 assessment(s)): 15.0h each (2.5h main + 2.5h resit); 282 scripts + 56 resits x 0.330h = 111.5h total (93.1h initial + 18.5h resit), 37.2h per teacher; CTAP (20cr): Standard (2.5x): 14.2h; Practicals: 2 groups shared by 3 lecturers, 1w - Standard: 7.5h/week @ 2.5x + repeats (0 grps @ 1.5x); 10w @ 1.5x (weeks ...); Total: 7.5h; 2 paper(s) set (1 assessment(s)): 15.0h each (2.5h main + 2.5h resit); 89 scripts + 17 resits x 0.330h = 35.0h total (29.4h initial + 5.6h resit), 11.7h per teacher; Project setting (fixed): 6.0h; Pastoral: 17 students x 3h = 51.0h; Projects: 7 projects x UG (16h) = 112.0h</t>
        </is>
      </c>
      <c r="H9" s="4" t="inlineStr">
        <is>
          <t>PhD supervision (primary supervisor, co-supervisor &amp; assessor) (1 × 80 + 3 × 48 + 1 × 8): 1x full-time PhD student × 80h/FTE; 3x part-time PhD student × 48h/FTE; 1x assessor (8h each) = 232.0h; Grant Participatory Harm Auditing Workbenches &amp; Methodologies: 5% of 1642h = 82.1h</t>
        </is>
      </c>
      <c r="I9" s="4" t="inlineStr">
        <is>
          <t>Deputy Graduate Chair: 10% of 1642h = 164.2h; Engagement (email/meetings): 100.0h; Personal development: 75.0h (FTE: 1.00)</t>
        </is>
      </c>
      <c r="J9" s="5" t="inlineStr">
        <is>
          <t>None</t>
        </is>
      </c>
      <c r="K9" s="5" t="inlineStr">
        <is>
          <t>None</t>
        </is>
      </c>
    </row>
    <row r="10">
      <c r="A10" s="2" t="inlineStr">
        <is>
          <t>Stefano Pirandola</t>
        </is>
      </c>
      <c r="B10" s="2" t="n">
        <v>1</v>
      </c>
      <c r="C10" s="3" t="n">
        <v>1257.515</v>
      </c>
      <c r="D10" s="3" t="n">
        <v>315.815</v>
      </c>
      <c r="E10" s="3" t="n">
        <v>520.4000000000001</v>
      </c>
      <c r="F10" s="3" t="n">
        <v>421.3</v>
      </c>
      <c r="G10" s="4" t="inlineStr">
        <is>
          <t>QUCO (20cr): Standard (2.5x): 21.2h; Practicals: 1 groups shared by 2 lecturers, 11w - Standard: 7.5h/week @ 2.5x + repeats (0 grps @ 1.5x); 10w @ 1.5x (weeks 2, 3, 4, 5, 6...); Total: 82.5h; 2 paper(s) set (1 assessment(s)): 15.0h each (3.8h main + 3.8h resit); 51 scripts + 10 resits x 0.330h = 20.1h total (16.8h initial + 3.3h resit), 10.1h per teacher; Project setting (fixed): 6.0h; Pastoral: 25 students x 3h = 75.0h; Projects: 7 projects x UG (16h) = 112.0h</t>
        </is>
      </c>
      <c r="H10" s="4" t="inlineStr">
        <is>
          <t>PhD supervision (primary supervisor, co-supervisor &amp; assessor) (1 × 80 + 2 × 48 + 2 × 8): 1x full-time PhD student × 80h/FTE; 2x part-time PhD student × 48h/FTE; 2x assessor (8h each) = 192.0h; Grant Integrated Quantum Networks (IQN) Hub: 10% of 1642h = 164.2h</t>
        </is>
      </c>
      <c r="I10" s="4" t="inlineStr">
        <is>
          <t>Progression Panel Chair: 15% of 1642h = 246.3h; Engagement (email/meetings): 100.0h; Personal development: 75.0h (FTE: 1.00)</t>
        </is>
      </c>
      <c r="J10" s="5" t="inlineStr">
        <is>
          <t>None</t>
        </is>
      </c>
      <c r="K10" s="5" t="inlineStr">
        <is>
          <t>None</t>
        </is>
      </c>
    </row>
    <row r="11">
      <c r="A11" s="2" t="inlineStr">
        <is>
          <t>Pengcheng Liu</t>
        </is>
      </c>
      <c r="B11" s="2" t="n">
        <v>1</v>
      </c>
      <c r="C11" s="3" t="n">
        <v>1400.88</v>
      </c>
      <c r="D11" s="3" t="n">
        <v>229.3</v>
      </c>
      <c r="E11" s="3" t="n">
        <v>996.5800000000002</v>
      </c>
      <c r="F11" s="3" t="n">
        <v>175</v>
      </c>
      <c r="G11" s="4" t="inlineStr">
        <is>
          <t>SYS3 (20cr): Standard (2.5x): 15.0h; Practicals: 6 groups shared by 3 lecturers, 11w - New: 10.0h/week @ 5x + repeats; Standard: 5.0h/week @ 2.5x + repeats (3 grps @ 1.5x); 10w @ 1.5x (weeks 2, 3, 4, 5, 6...); New: 143.0h, Standard: 88.0h; 2 paper(s) set (1 assessment(s)): 15.0h each (2.5h main + 2.5h resit); 275 scripts + 55 resits x 0.330h = 108.9h total (90.8h initial + 18.2h resit), 36.3h per teacher; Project setting (fixed): 6.0h; Pastoral: 10 students x 3h = 30.0h; Projects: 3 projects x UG (16h) = 48.0h</t>
        </is>
      </c>
      <c r="H11" s="4" t="inlineStr">
        <is>
          <t>PhD supervision (primary supervisor, co-supervisor &amp; assessor) (1 × 80 + 2 × 48 + 2 × 8): 1x full-time PhD student × 80h/FTE; 2x part-time PhD student × 48h/FTE; 2x assessor (8h each) = 192.0h; Grant Intelligent Dependable Environment Control for Sustainable Aquaculture: 20% of 1642h = 328.4h; Grant Establishing a Safe AI Research Hub: York–UTM–UTB Twin-Lab Initiative: 9% of 1642h = 147.8h; Grant Establishment of Korea–UK Collaboration Platform for Convergent Research in Quantum Photonics and Artificial Intelligence - Yr2: 5% of 1642h = 82.1h; Grant SCHEME: 5% of 1642h = 82.1h</t>
        </is>
      </c>
      <c r="I11" s="4" t="inlineStr">
        <is>
          <t>Graduate School Board (GSB) Chair: 0% of 1642h = 0.0h; Engagement (email/meetings): 100.0h; Personal development: 75.0h (FTE: 1.00)</t>
        </is>
      </c>
      <c r="J11" s="5" t="inlineStr">
        <is>
          <t>None</t>
        </is>
      </c>
      <c r="K11" s="5" t="inlineStr">
        <is>
          <t>None</t>
        </is>
      </c>
    </row>
    <row r="12">
      <c r="A12" s="2" t="inlineStr">
        <is>
          <t>Ian Gray</t>
        </is>
      </c>
      <c r="B12" s="2" t="n">
        <v>1</v>
      </c>
      <c r="C12" s="3" t="n">
        <v>1665.61</v>
      </c>
      <c r="D12" s="3" t="n">
        <v>321.41</v>
      </c>
      <c r="E12" s="3" t="n">
        <v>348.2</v>
      </c>
      <c r="F12" s="3" t="n">
        <v>996</v>
      </c>
      <c r="G12" s="4" t="inlineStr">
        <is>
          <t>EMBS (20cr): Standard (2.5x): 22.5h; Practicals: 2 groups shared by 2 lecturers, 11w - Standard: 5.0h/week @ 2.5x + repeats (0 grps @ 1.5x); 10w @ 1.5x (weeks 2, 3, 4, 5, 6...); Total: 55.0h; 2 paper(s) set (1 assessment(s)): 15.0h each (3.8h main + 3.8h resit); 45 scripts + 9 resits x 0.330h = 17.8h total (14.9h initial + 3.0h resit), 8.9h per teacher; Project setting (fixed): 6.0h; Pastoral: 20 students (default) x 3h = 60.0h; Projects: 10 projects x UG (16h) = 160.0h</t>
        </is>
      </c>
      <c r="H12" s="4" t="inlineStr">
        <is>
          <t>PhD supervision (primary supervisor, co-supervisor &amp; assessor) (1 × 80 + 2 × 48 + 1 × 8): 1x full-time PhD student × 80h/FTE; 2x part-time PhD student × 48h/FTE; 1x assessor (8h each) = 184.0h</t>
        </is>
      </c>
      <c r="I12" s="4" t="inlineStr">
        <is>
          <t>Deputy Head of Department (On-campus teaching): 50% of 1642h = 821.0h; Engagement (email/meetings): 100.0h; Personal development: 75.0h (FTE: 1.00)</t>
        </is>
      </c>
      <c r="J12" s="5" t="inlineStr">
        <is>
          <t>None</t>
        </is>
      </c>
      <c r="K12" s="5" t="inlineStr">
        <is>
          <t>None</t>
        </is>
      </c>
    </row>
    <row r="13">
      <c r="A13" s="2" t="inlineStr">
        <is>
          <t>Sam Braunstein</t>
        </is>
      </c>
      <c r="B13" s="2" t="n">
        <v>1</v>
      </c>
      <c r="C13" s="3" t="n">
        <v>656.5916666666667</v>
      </c>
      <c r="D13" s="3" t="n">
        <v>317.3916666666667</v>
      </c>
      <c r="E13" s="3" t="n">
        <v>164.2</v>
      </c>
      <c r="F13" s="3" t="n">
        <v>175</v>
      </c>
      <c r="G13" s="4" t="inlineStr">
        <is>
          <t>THE2 (20cr): Standard (2.5x): 16.7h; 2 paper(s) set (1 assessment(s)): 15.0h each (2.5h main + 2.5h resit); 318 scripts + 63 resits x 0.330h = 125.7h total (104.9h initial + 20.8h resit), 41.9h per teacher; QUCO (20cr): Standard (2.5x): 21.2h; Practicals: 1 groups shared by 2 lecturers, 11w - Standard: 7.5h/week @ 2.5x + repeats (0 grps @ 1.5x); 10w @ 1.5x (weeks 2, 3, 4, 5, 6...); Total: 82.5h; 2 paper(s) set (1 assessment(s)): 15.0h each (3.8h main + 3.8h resit); 51 scripts + 10 resits x 0.330h = 20.1h total (16.8h initial + 3.3h resit), 10.1h per teacher; Project setting (fixed): 6.0h; Pastoral: 4 students x 3h = 12.0h; Projects: 7 projects x UG (16h) = 112.0h</t>
        </is>
      </c>
      <c r="H13" s="4" t="inlineStr">
        <is>
          <t>No research activities recorded</t>
        </is>
      </c>
      <c r="I13" s="4" t="inlineStr">
        <is>
          <t>Engagement (email/meetings): 100.0h; Personal development: 75.0h (FTE: 1.00)</t>
        </is>
      </c>
      <c r="J13" s="5" t="inlineStr">
        <is>
          <t>None</t>
        </is>
      </c>
      <c r="K13" s="5" t="inlineStr">
        <is>
          <t>No administrative roles assigned</t>
        </is>
      </c>
    </row>
    <row r="14">
      <c r="A14" s="2" t="inlineStr">
        <is>
          <t>Alvaro Miyazawa</t>
        </is>
      </c>
      <c r="B14" s="2" t="n">
        <v>1</v>
      </c>
      <c r="C14" s="3" t="n">
        <v>854.6166666666667</v>
      </c>
      <c r="D14" s="3" t="n">
        <v>247.2166666666667</v>
      </c>
      <c r="E14" s="3" t="n">
        <v>268.2</v>
      </c>
      <c r="F14" s="3" t="n">
        <v>339.2</v>
      </c>
      <c r="G14" s="4" t="inlineStr">
        <is>
          <t>THE2 (20cr): Standard (2.5x): 16.7h; 2 paper(s) set (1 assessment(s)): 15.0h each (2.5h main + 2.5h resit); 318 scripts + 63 resits x 0.330h = 125.7h total (104.9h initial + 20.8h resit), 41.9h per teacher; AURO (20cr): Standard (2.5x): 15.0h; Practicals: 1 groups shared by 3 lecturers, 11w - New: 10.0h/week @ 5x + repeats; Standard: 5.0h/week @ 2.5x + repeats (0 grps @ 1.5x); 10w @ 1.5x (weeks 2, 3, 4, 5, 6...); New: 110.0h, Standard: 55.0h; 2 paper(s) set (1 assessment(s)): 15.0h each (2.5h main + 2.5h resit); 104 scripts + 20 resits x 0.330h = 40.9h total (34.3h initial + 6.6h resit), 13.6h per teacher; Project setting (fixed): 6.0h; Pastoral: 13 students x 3h = 39.0h; Projects: 3 projects x UG (16h) = 48.0h</t>
        </is>
      </c>
      <c r="H14" s="4" t="inlineStr">
        <is>
          <t>PhD supervision (primary supervisor, co-supervisor &amp; assessor) (2 × 48 + 1 × 8): 2x part-time PhD student × 48h/FTE; 1x assessor (8h each) = 104.0h</t>
        </is>
      </c>
      <c r="I14" s="4" t="inlineStr">
        <is>
          <t>Deputy CBoEs: 10% of 1642h = 164.2h; Engagement (email/meetings): 100.0h; Personal development: 75.0h (FTE: 1.00)</t>
        </is>
      </c>
      <c r="J14" s="5" t="inlineStr">
        <is>
          <t>None</t>
        </is>
      </c>
      <c r="K14" s="5" t="inlineStr">
        <is>
          <t>None</t>
        </is>
      </c>
    </row>
    <row r="15">
      <c r="A15" s="2" t="inlineStr">
        <is>
          <t>Felix Ulrich-Oltean</t>
        </is>
      </c>
      <c r="B15" s="2" t="n">
        <v>1</v>
      </c>
      <c r="C15" s="3" t="n">
        <v>706.63</v>
      </c>
      <c r="D15" s="3" t="n">
        <v>319.43</v>
      </c>
      <c r="E15" s="3" t="n">
        <v>212.2</v>
      </c>
      <c r="F15" s="3" t="n">
        <v>175</v>
      </c>
      <c r="G15" s="4" t="inlineStr">
        <is>
          <t>SAIL (20cr): Standard (2.5x): 22.5h; Practicals: 1 groups shared by 2 lecturers, 11w - Standard: 5.0h/week @ 2.5x + repeats (0 grps @ 1.5x); 10w @ 1.5x (weeks 2, 3, 4, 5, 6...); Total: 55.0h; 2 paper(s) set (1 assessment(s)): 15.0h each (3.8h main + 3.8h resit); 35 scripts + 7 resits x 0.330h = 13.9h total (11.6h initial + 2.3h resit), 6.9h per teacher; Project setting (fixed): 6.0h; Pastoral: 20 students (default) x 3h = 60.0h; Projects: 10 projects x UG (16h) = 160.0h</t>
        </is>
      </c>
      <c r="H15" s="4" t="inlineStr">
        <is>
          <t>PhD supervision (primary supervisor, co-supervisor &amp; assessor) (1 × 48): 1x part-time PhD student × 48h/FTE = 48.0h</t>
        </is>
      </c>
      <c r="I15" s="4" t="inlineStr">
        <is>
          <t>Engagement (email/meetings): 100.0h; Personal development: 75.0h (FTE: 1.00)</t>
        </is>
      </c>
      <c r="J15" s="5" t="inlineStr">
        <is>
          <t>None</t>
        </is>
      </c>
      <c r="K15" s="5" t="inlineStr">
        <is>
          <t>No administrative roles assigned</t>
        </is>
      </c>
    </row>
    <row r="16">
      <c r="A16" s="2" t="inlineStr">
        <is>
          <t>James Walker</t>
        </is>
      </c>
      <c r="B16" s="2" t="n">
        <v>1</v>
      </c>
      <c r="C16" s="3" t="n">
        <v>1489.84</v>
      </c>
      <c r="D16" s="3" t="n">
        <v>314.04</v>
      </c>
      <c r="E16" s="3" t="n">
        <v>1000.8</v>
      </c>
      <c r="F16" s="3" t="n">
        <v>175</v>
      </c>
      <c r="G16" s="4" t="inlineStr">
        <is>
          <t>IMLO (20cr): Standard (2.5x): 15.0h; Practicals: 4 groups shared by 3 lecturers, 11w - Standard: 5.0h/week @ 2.5x + repeats (1 grps @ 1.5x); 10w @ 1.5x (weeks 2, 3, 4, 5, 6...); Total: 66.0h; 4 paper(s) set (2 assessment(s)): 15.0h each (5.0h main + 5.0h resit); 304 scripts + 60 resits x 0.330h = 120.1h total (100.3h initial + 19.8h resit), 40.0h per teacher; Project setting (fixed): 6.0h; Pastoral: 21 students x 3h = 63.0h; Projects: 7 projects x UG (16h) = 112.0h</t>
        </is>
      </c>
      <c r="H16" s="4" t="inlineStr">
        <is>
          <t>PhD supervision (primary supervisor, co-supervisor &amp; assessor) (2 × 80 + 3 × 48 + 5 × 8): 2x full-time PhD student × 80h/FTE; 3x part-time PhD student × 48h/FTE; 5x assessor (8h each) = 344.0h; Grant Smart Data Donation Service (SDDS): 10% of 1642h = 164.2h; Grant IGGI: 20% of 1642h = 328.4h</t>
        </is>
      </c>
      <c r="I16" s="4" t="inlineStr">
        <is>
          <t>Engagement (email/meetings): 100.0h; Personal development: 75.0h (FTE: 1.00)</t>
        </is>
      </c>
      <c r="J16" s="5" t="inlineStr">
        <is>
          <t>None</t>
        </is>
      </c>
      <c r="K16" s="5" t="inlineStr">
        <is>
          <t>No administrative roles assigned</t>
        </is>
      </c>
    </row>
    <row r="17">
      <c r="A17" s="2" t="inlineStr">
        <is>
          <t>Kostas Barmpis</t>
        </is>
      </c>
      <c r="B17" s="2" t="n">
        <v>1</v>
      </c>
      <c r="C17" s="3" t="n">
        <v>1126.1</v>
      </c>
      <c r="D17" s="3" t="n">
        <v>402.5</v>
      </c>
      <c r="E17" s="3" t="n">
        <v>548.6</v>
      </c>
      <c r="F17" s="3" t="n">
        <v>175</v>
      </c>
      <c r="G17" s="4" t="inlineStr">
        <is>
          <t>ENG1 (20cr): Standard (2.5x): 15.0h; Practicals: 4 groups shared by 3 lecturers, 11w - New: 10.0h/week @ 5x + repeats; Standard: 5.0h/week @ 2.5x + repeats (1 grps @ 1.5x); 10w @ 1.5x (weeks 2, 3, 4, 5, 6...); New: 121.0h, Standard: 66.0h; 4 paper(s) set (2 assessment(s)): 15.0h each (5.0h main + 5.0h resit); 315 scripts + 63 resits x 0.330h = 124.7h total (104.0h initial + 20.8h resit), 41.6h per teacher; ENG2 (20cr): Standard (2.5x): 15.0h; Practicals: 1 groups shared by 3 lecturers, 11w - Standard: 5.0h/week @ 2.5x + repeats (0 grps @ 1.5x); 10w @ 1.5x (weeks 2, 3, 4, 5, 6...); Total: 55.0h; 2 paper(s) set (1 assessment(s)): 15.0h each (2.5h main + 2.5h resit); 60 scripts + 12 resits x 0.330h = 23.8h total (19.8h initial + 4.0h resit), 7.9h per teacher; Project setting (fixed): 6.0h; Pastoral: 22 students x 3h = 66.0h; Projects: 7 projects x UG (16h) = 112.0h</t>
        </is>
      </c>
      <c r="H17" s="4" t="inlineStr">
        <is>
          <t>PhD supervision (primary supervisor, co-supervisor &amp; assessor) (1 × 48 + 1 × 8): 1x part-time PhD student × 48h/FTE; 1x assessor (8h each) = 56.0h; Grant MOSAICO: 10% of 1642h = 164.2h; Grant SCHEME: 10% of 1642h = 164.2h</t>
        </is>
      </c>
      <c r="I17" s="4" t="inlineStr">
        <is>
          <t>PGR Training Officer: 0% of 1642h = 0.0h; Engagement (email/meetings): 100.0h; Personal development: 75.0h (FTE: 1.00)</t>
        </is>
      </c>
      <c r="J17" s="5" t="inlineStr">
        <is>
          <t>Module had 0 students - marking not calculated</t>
        </is>
      </c>
      <c r="K17" s="5" t="inlineStr">
        <is>
          <t>None</t>
        </is>
      </c>
    </row>
    <row r="18">
      <c r="A18" s="2" t="inlineStr">
        <is>
          <t>Detlef Plump</t>
        </is>
      </c>
      <c r="B18" s="2" t="n">
        <v>1</v>
      </c>
      <c r="C18" s="3" t="n">
        <v>1088.76</v>
      </c>
      <c r="D18" s="3" t="n">
        <v>325.16</v>
      </c>
      <c r="E18" s="3" t="n">
        <v>260.2</v>
      </c>
      <c r="F18" s="3" t="n">
        <v>503.4</v>
      </c>
      <c r="G18" s="4" t="inlineStr">
        <is>
          <t>THE2 (20cr): Standard (2.5x): 16.7h; 2 paper(s) set (1 assessment(s)): 15.0h each (2.5h main + 2.5h resit); 318 scripts + 63 resits x 0.330h = 125.7h total (104.9h initial + 20.8h resit), 41.9h per teacher; THE3 (20cr): Standard (2.5x): 15.8h; Practicals: 5 groups shared by 3 lecturers, 3w - New: 5.0h/week @ 5x + repeats; Standard: 2.5h/week @ 2.5x + repeats (2 grps @ 1.5x); 2w @ 1.5x (weeks 8, 9); New: 18.0h, Standard: 10.5h; 4 paper(s) set (2 assessment(s)): 15.0h each (5.0h main + 5.0h resit); 313 scripts + 62 resits x 0.330h = 123.8h total (103.3h initial + 20.5h resit), 41.2h per teacher; Project setting (fixed): 6.0h; Pastoral: 21 students x 3h = 63.0h; Projects: 7 projects x UG (16h) = 112.0h</t>
        </is>
      </c>
      <c r="H18" s="4" t="inlineStr">
        <is>
          <t>PhD supervision (primary supervisor, co-supervisor &amp; assessor) (1 × 80 + 2 × 8): 1x full-time PhD student × 80h/FTE; 2x assessor (8h each) = 96.0h</t>
        </is>
      </c>
      <c r="I18" s="4" t="inlineStr">
        <is>
          <t>EC Officer (on-campus): 15% of 1642h = 246.3h; Other PLs: 5% of 1642h = 82.1h; Engagement (email/meetings): 100.0h; Personal development: 75.0h (FTE: 1.00)</t>
        </is>
      </c>
      <c r="J18" s="5" t="inlineStr">
        <is>
          <t>None</t>
        </is>
      </c>
      <c r="K18" s="5" t="inlineStr">
        <is>
          <t>None</t>
        </is>
      </c>
    </row>
    <row r="19">
      <c r="A19" s="2" t="inlineStr">
        <is>
          <t>Steven Wright</t>
        </is>
      </c>
      <c r="B19" s="2" t="n">
        <v>1</v>
      </c>
      <c r="C19" s="3" t="n">
        <v>854.41</v>
      </c>
      <c r="D19" s="3" t="n">
        <v>227.21</v>
      </c>
      <c r="E19" s="3" t="n">
        <v>452.2</v>
      </c>
      <c r="F19" s="3" t="n">
        <v>175</v>
      </c>
      <c r="G19" s="4" t="inlineStr">
        <is>
          <t>HIPC (20cr): Standard (2.5x): 22.5h; Practicals: 3 groups shared by 2 lecturers, 11w - Standard: 5.0h/week @ 2.5x + repeats (1 grps @ 1.5x); 10w @ 1.5x (weeks 2, 3, 4, 5, 6...); Total: 71.5h; 2 paper(s) set (1 assessment(s)): 15.0h each (3.8h main + 3.8h resit); 62 scripts + 12 resits x 0.330h = 24.4h total (20.5h initial + 4.0h resit), 12.2h per teacher; Project setting (fixed): 6.0h; Pastoral: 14 students x 3h = 42.0h; Projects: 4 projects x UG (16h) = 64.0h</t>
        </is>
      </c>
      <c r="H19" s="4" t="inlineStr">
        <is>
          <t>PhD supervision (primary supervisor, co-supervisor &amp; assessor) (3 × 80 + 1 × 48): 3x full-time PhD student × 80h/FTE; 1x part-time PhD student × 48h/FTE = 288.0h</t>
        </is>
      </c>
      <c r="I19" s="4" t="inlineStr">
        <is>
          <t>Chair of the Board of Examiners: 0% of 1642h = 0.0h; Engagement (email/meetings): 100.0h; Personal development: 75.0h (FTE: 1.00)</t>
        </is>
      </c>
      <c r="J19" s="5" t="inlineStr">
        <is>
          <t>None</t>
        </is>
      </c>
      <c r="K19" s="5" t="inlineStr">
        <is>
          <t>None</t>
        </is>
      </c>
    </row>
    <row r="20">
      <c r="A20" s="2" t="inlineStr">
        <is>
          <t>Soumya Banerjee</t>
        </is>
      </c>
      <c r="B20" s="2" t="n">
        <v>1</v>
      </c>
      <c r="C20" s="3" t="n">
        <v>856.04</v>
      </c>
      <c r="D20" s="3" t="n">
        <v>516.8399999999999</v>
      </c>
      <c r="E20" s="3" t="n">
        <v>164.2</v>
      </c>
      <c r="F20" s="3" t="n">
        <v>175</v>
      </c>
      <c r="G20" s="4" t="inlineStr">
        <is>
          <t>AURO (20cr): New lecturer (5x): 6.0h base @ 2.5x + content dev = 30h; Practicals: 1 groups shared by 3 lecturers, 11w - New: 10.0h/week @ 5x + repeats; Standard: 5.0h/week @ 2.5x + repeats (0 grps @ 1.5x); 10w @ 1.5x (weeks 2, 3, 4, 5, 6...); New: 110.0h, Standard: 55.0h; 2 paper(s) set (1 assessment(s)): 15.0h each (2.5h main + 2.5h resit); 104 scripts + 20 resits x 0.330h = 40.9h total (34.3h initial + 6.6h resit), 13.6h per teacher; ELLA (20cr): New lecturer (5x): 6.0h base @ 2.5x + content dev = 30h; Practicals: 2 groups shared by 3 lecturers, 11w - New: 10.0h/week @ 5x + repeats; Standard: 5.0h/week @ 2.5x + repeats (0 grps @ 1.5x); 10w @ 1.5x (weeks 2, 3, 4, 5, 6...); New: 110.0h, Standard: 55.0h; 2 paper(s) set (1 assessment(s)): 15.0h each (2.5h main + 2.5h resit); 100 scripts + 20 resits x 0.330h = 39.6h total (33.0h initial + 6.6h resit), 13.2h per teacher; Project setting (fixed): 6.0h; Pastoral: 25 students x 3h = 75.0h; Projects: 7 projects x UG (16h) = 112.0h</t>
        </is>
      </c>
      <c r="H20" s="4" t="inlineStr">
        <is>
          <t>No research activities recorded</t>
        </is>
      </c>
      <c r="I20" s="4" t="inlineStr">
        <is>
          <t>Engagement (email/meetings): 100.0h; Personal development: 75.0h (FTE: 1.00)</t>
        </is>
      </c>
      <c r="J20" s="5" t="inlineStr">
        <is>
          <t>Module had 0 students - marking not calculated</t>
        </is>
      </c>
      <c r="K20" s="5" t="inlineStr">
        <is>
          <t>No administrative roles assigned</t>
        </is>
      </c>
    </row>
    <row r="21">
      <c r="A21" s="2" t="inlineStr">
        <is>
          <t>Tommy Yuan</t>
        </is>
      </c>
      <c r="B21" s="2" t="n">
        <v>1</v>
      </c>
      <c r="C21" s="3" t="n">
        <v>1418.78</v>
      </c>
      <c r="D21" s="3" t="n">
        <v>551.1800000000001</v>
      </c>
      <c r="E21" s="3" t="n">
        <v>364.2</v>
      </c>
      <c r="F21" s="3" t="n">
        <v>503.4</v>
      </c>
      <c r="G21" s="4" t="inlineStr">
        <is>
          <t>ENG1 (20cr): Standard (2.5x): 15.0h; Practicals: 4 groups shared by 3 lecturers, 11w - New: 10.0h/week @ 5x + repeats; Standard: 5.0h/week @ 2.5x + repeats (1 grps @ 1.5x); 10w @ 1.5x (weeks 2, 3, 4, 5, 6...); New: 121.0h, Standard: 66.0h; 4 paper(s) set (2 assessment(s)): 15.0h each (5.0h main + 5.0h resit); 315 scripts + 63 resits x 0.330h = 124.7h total (104.0h initial + 20.8h resit), 41.6h per teacher; FOAM (20cr): Standard (2.5x): 22.5h; Practicals: 1 groups shared by 2 lecturers, 11w - Standard: 5.0h/week @ 2.5x + repeats (0 grps @ 1.5x); 10w @ 1.5x (weeks 2, 3, 4, 5, 6...); Total: 55.0h; 2 paper(s) set (1 assessment(s)): 15.0h each (3.8h main + 3.8h resit); 100 scripts + 20 resits x 0.330h = 39.6h total (33.0h initial + 6.6h resit), 19.8h per teacher; ARIA (20cr): Standard (2.5x): 22.5h; Practicals: 1 groups shared by 2 lecturers, 11w - Standard: 5.0h/week @ 2.5x + repeats (0 grps @ 1.5x); 10w @ 1.5x (weeks 2, 3, 4, 5, 6...); Total: 55.0h; 2 paper(s) set (1 assessment(s)): 15.0h each (3.8h main + 3.8h resit); 100 scripts + 20 resits x 0.330h = 39.6h total (33.0h initial + 6.6h resit), 19.8h per teacher; Project setting (fixed): 6.0h; Pastoral: 18 students x 3h = 54.0h; Projects: 9 projects x UG (16h) = 144.0h</t>
        </is>
      </c>
      <c r="H21" s="4" t="inlineStr">
        <is>
          <t>PhD supervision (primary supervisor, co-supervisor &amp; assessor) (1 × 80 + 2 × 48 + 3 × 8): 1x full-time PhD student × 80h/FTE; 2x part-time PhD student × 48h/FTE; 3x assessor (8h each) = 200.0h</t>
        </is>
      </c>
      <c r="I21" s="4" t="inlineStr">
        <is>
          <t>Deputy CBoEs: 10% of 1642h = 164.2h; StAMP committee members: 0% of 1642h = 0.0h; CSCSE HAP Partnership Leader: 10% of 1642h = 164.2h; Engagement (email/meetings): 100.0h; Personal development: 75.0h (FTE: 1.00)</t>
        </is>
      </c>
      <c r="J21" s="5" t="inlineStr">
        <is>
          <t>Module had 0 students - marking not calculated; Module had 0 students - marking not calculated</t>
        </is>
      </c>
      <c r="K21" s="5" t="inlineStr">
        <is>
          <t>None</t>
        </is>
      </c>
    </row>
    <row r="22">
      <c r="A22" s="2" t="inlineStr">
        <is>
          <t>Fang Yan</t>
        </is>
      </c>
      <c r="B22" s="2" t="n">
        <v>1</v>
      </c>
      <c r="C22" s="3" t="n">
        <v>664.0133333333333</v>
      </c>
      <c r="D22" s="3" t="n">
        <v>324.8133333333333</v>
      </c>
      <c r="E22" s="3" t="n">
        <v>164.2</v>
      </c>
      <c r="F22" s="3" t="n">
        <v>175</v>
      </c>
      <c r="G22" s="4" t="inlineStr">
        <is>
          <t>SOF2 (20cr): New lecturer (5x): 6.3h base @ 2.5x + content dev = 32h; Practicals: 5 groups shared by 3 lecturers, 11w - New: 5.0h/week @ 5x + repeats; Standard: 2.5h/week @ 2.5x + repeats (2 grps @ 1.5x); 10w @ 1.5x (weeks 2, 3, 4, 5, 6...); New: 66.0h, Standard: 38.5h; 4 paper(s) set (2 assessment(s)): 15.0h each (5.0h main + 5.0h resit); 328 scripts + 65 resits x 0.330h = 129.7h total (108.2h initial + 21.4h resit), 43.2h per teacher; THE3 (20cr): New lecturer (5x): 6.3h base @ 2.5x + content dev = 32h; Practicals: 5 groups shared by 3 lecturers, 3w - New: 5.0h/week @ 5x + repeats; Standard: 2.5h/week @ 2.5x + repeats (2 grps @ 1.5x); 2w @ 1.5x (weeks 8, 9); New: 18.0h, Standard: 10.5h; 4 paper(s) set (2 assessment(s)): 15.0h each (5.0h main + 5.0h resit); 313 scripts + 62 resits x 0.330h = 123.8h total (103.3h initial + 20.5h resit), 41.2h per teacher; Project setting (fixed): 6.0h; Pastoral: 7 students x 3h = 21.0h; Projects: 2 projects x UG (16h) = 32.0h; Also teaches: Foundations of Safe AI (Safe AI 1), Designing Safe AI (Safe AI 2) (SAINTS - not included in workload)</t>
        </is>
      </c>
      <c r="H22" s="4" t="inlineStr">
        <is>
          <t>No research activities recorded</t>
        </is>
      </c>
      <c r="I22" s="4" t="inlineStr">
        <is>
          <t>Engagement (email/meetings): 100.0h; Personal development: 75.0h (FTE: 1.00)</t>
        </is>
      </c>
      <c r="J22" s="5" t="inlineStr">
        <is>
          <t>None</t>
        </is>
      </c>
      <c r="K22" s="5" t="inlineStr">
        <is>
          <t>No administrative roles assigned</t>
        </is>
      </c>
    </row>
    <row r="23">
      <c r="A23" s="2" t="inlineStr">
        <is>
          <t>Claudio Guarnera</t>
        </is>
      </c>
      <c r="B23" s="2" t="n">
        <v>1</v>
      </c>
      <c r="C23" s="3" t="n">
        <v>668.24</v>
      </c>
      <c r="D23" s="3" t="n">
        <v>217.04</v>
      </c>
      <c r="E23" s="3" t="n">
        <v>276.2</v>
      </c>
      <c r="F23" s="3" t="n">
        <v>175</v>
      </c>
      <c r="G23" s="4" t="inlineStr">
        <is>
          <t>IMLO (20cr): Standard (2.5x): 15.0h; Practicals: 4 groups shared by 3 lecturers, 11w - Standard: 5.0h/week @ 2.5x + repeats (1 grps @ 1.5x); 10w @ 1.5x (weeks 2, 3, 4, 5, 6...); Total: 66.0h; 4 paper(s) set (2 assessment(s)): 15.0h each (5.0h main + 5.0h resit); 304 scripts + 60 resits x 0.330h = 120.1h total (100.3h initial + 19.8h resit), 40.0h per teacher; Project setting (fixed): 6.0h; Pastoral: 10 students x 3h = 30.0h; Projects: 3 projects x UG (16h) = 48.0h</t>
        </is>
      </c>
      <c r="H23" s="4" t="inlineStr">
        <is>
          <t>PhD supervision (primary supervisor, co-supervisor &amp; assessor) (2 × 48 + 2 × 8): 2x part-time PhD student × 48h/FTE; 2x assessor (8h each) = 112.0h</t>
        </is>
      </c>
      <c r="I23" s="4" t="inlineStr">
        <is>
          <t>Engagement (email/meetings): 100.0h; Personal development: 75.0h (FTE: 1.00)</t>
        </is>
      </c>
      <c r="J23" s="5" t="inlineStr">
        <is>
          <t>None</t>
        </is>
      </c>
      <c r="K23" s="5" t="inlineStr">
        <is>
          <t>No administrative roles assigned</t>
        </is>
      </c>
    </row>
    <row r="24">
      <c r="A24" s="2" t="inlineStr">
        <is>
          <t>Joe Cutting</t>
        </is>
      </c>
      <c r="B24" s="2" t="n">
        <v>1</v>
      </c>
      <c r="C24" s="3" t="n">
        <v>764.235</v>
      </c>
      <c r="D24" s="3" t="n">
        <v>361.035</v>
      </c>
      <c r="E24" s="3" t="n">
        <v>228.2</v>
      </c>
      <c r="F24" s="3" t="n">
        <v>175</v>
      </c>
      <c r="G24" s="4" t="inlineStr">
        <is>
          <t>IDEV (20cr): Standard (2.5x): 22.5h; Practicals: 1 groups shared by 2 lecturers, 11w - Standard: 5.0h/week @ 2.5x + repeats (0 grps @ 1.5x); 10w @ 1.5x (weeks 2, 3, 4, 5, 6...); Total: 55.0h; 4 paper(s) set (2 assessment(s)): 15.0h each (7.5h main + 7.5h resit); 10 scripts + 2 resits x 0.330h = 4.0h total (3.3h initial + 0.7h resit), 2.0h per teacher; PRAD (20cr): Standard (2.5x): 22.5h; Practicals: 2 groups shared by 2 lecturers, 11w - Standard: 5.0h/week @ 2.5x + repeats (0 grps @ 1.5x); 10w @ 1.5x (weeks 2, 3, 4, 5, 6...); Total: 55.0h; 2 paper(s) set (1 assessment(s)): 15.0h each (3.8h main + 3.8h resit); 56 scripts + 11 resits x 0.330h = 22.1h total (18.5h initial + 3.6h resit), 11.1h per teacher; Project setting (fixed): 6.0h; Pastoral: 16 students x 3h = 48.0h; Projects: 7 projects x UG (16h) = 112.0h</t>
        </is>
      </c>
      <c r="H24" s="4" t="inlineStr">
        <is>
          <t>PhD supervision (primary supervisor, co-supervisor &amp; assessor) (1 × 48 + 2 × 8): 1x part-time PhD student × 48h/FTE; 2x assessor (8h each) = 64.0h</t>
        </is>
      </c>
      <c r="I24" s="4" t="inlineStr">
        <is>
          <t>ECR rep: 0% of 1642h = 0.0h; Engagement (email/meetings): 100.0h; Personal development: 75.0h (FTE: 1.00)</t>
        </is>
      </c>
      <c r="J24" s="5" t="inlineStr">
        <is>
          <t>Module had 0 students - marking not calculated</t>
        </is>
      </c>
      <c r="K24" s="5" t="inlineStr">
        <is>
          <t>None</t>
        </is>
      </c>
    </row>
    <row r="25">
      <c r="A25" s="2" t="inlineStr">
        <is>
          <t>Peter Nightingale</t>
        </is>
      </c>
      <c r="B25" s="2" t="n">
        <v>1</v>
      </c>
      <c r="C25" s="3" t="n">
        <v>1085.43</v>
      </c>
      <c r="D25" s="3" t="n">
        <v>446.03</v>
      </c>
      <c r="E25" s="3" t="n">
        <v>300.2</v>
      </c>
      <c r="F25" s="3" t="n">
        <v>339.2</v>
      </c>
      <c r="G25" s="4" t="inlineStr">
        <is>
          <t>SAIL (20cr): Standard (2.5x): 22.5h; Practicals: 1 groups shared by 2 lecturers, 11w - Standard: 5.0h/week @ 2.5x + repeats (0 grps @ 1.5x); 10w @ 1.5x (weeks 2, 3, 4, 5, 6...); Total: 55.0h; 2 paper(s) set (1 assessment(s)): 15.0h each (3.8h main + 3.8h resit); 35 scripts + 7 resits x 0.330h = 13.9h total (11.6h initial + 2.3h resit), 6.9h per teacher; FOAM (20cr): Standard (2.5x): 22.5h; Practicals: 1 groups shared by 2 lecturers, 11w - Standard: 5.0h/week @ 2.5x + repeats (0 grps @ 1.5x); 10w @ 1.5x (weeks 2, 3, 4, 5, 6...); Total: 55.0h; 2 paper(s) set (1 assessment(s)): 15.0h each (3.8h main + 3.8h resit); 100 scripts + 20 resits x 0.330h = 39.6h total (33.0h initial + 6.6h resit), 19.8h per teacher; ARIA (20cr): Standard (2.5x): 22.5h; Practicals: 1 groups shared by 2 lecturers, 11w - Standard: 5.0h/week @ 2.5x + repeats (0 grps @ 1.5x); 10w @ 1.5x (weeks 2, 3, 4, 5, 6...); Total: 55.0h; 2 paper(s) set (1 assessment(s)): 15.0h each (3.8h main + 3.8h resit); 100 scripts + 20 resits x 0.330h = 39.6h total (33.0h initial + 6.6h resit), 19.8h per teacher; Project setting (fixed): 6.0h; Pastoral: 18 students x 3h = 54.0h; Projects: 5 projects x UG (16h) = 80.0h</t>
        </is>
      </c>
      <c r="H25" s="4" t="inlineStr">
        <is>
          <t>PhD supervision (primary supervisor, co-supervisor &amp; assessor) (2 × 48 + 5 × 8): 2x part-time PhD student × 48h/FTE; 5x assessor (8h each) = 136.0h</t>
        </is>
      </c>
      <c r="I25" s="4" t="inlineStr">
        <is>
          <t>UG PL: 10% of 1642h = 164.2h; Engagement (email/meetings): 100.0h; Personal development: 75.0h (FTE: 1.00)</t>
        </is>
      </c>
      <c r="J25" s="5" t="inlineStr">
        <is>
          <t>Module had 0 students - marking not calculated; Module had 0 students - marking not calculated</t>
        </is>
      </c>
      <c r="K25" s="5" t="inlineStr">
        <is>
          <t>None</t>
        </is>
      </c>
    </row>
    <row r="26">
      <c r="A26" s="2" t="inlineStr">
        <is>
          <t>Adrian Bors</t>
        </is>
      </c>
      <c r="B26" s="2" t="n">
        <v>1</v>
      </c>
      <c r="C26" s="3" t="n">
        <v>1016.6</v>
      </c>
      <c r="D26" s="3" t="n">
        <v>347.3</v>
      </c>
      <c r="E26" s="3" t="n">
        <v>412.2</v>
      </c>
      <c r="F26" s="3" t="n">
        <v>257.1</v>
      </c>
      <c r="G26" s="4" t="inlineStr">
        <is>
          <t>NLPG (20cr): Standard (2.5x): 22.5h; Practicals: 2 groups shared by 2 lecturers, 11w - Standard: 5.0h/week @ 2.5x + repeats (0 grps @ 1.5x); 10w @ 1.5x (weeks 2, 3, 4, 5, 6...); Total: 55.0h; 2 paper(s) set (1 assessment(s)): 15.0h each (3.8h main + 3.8h resit); 100 scripts + 20 resits x 0.330h = 39.6h total (33.0h initial + 6.6h resit), 19.8h per teacher; Project setting (fixed): 6.0h; Pastoral: 25 students x 3h = 75.0h; Projects: 10 projects x UG (16h) = 160.0h</t>
        </is>
      </c>
      <c r="H26" s="4" t="inlineStr">
        <is>
          <t>PhD supervision (primary supervisor, co-supervisor &amp; assessor) (3 × 80 + 1 × 8): 3x full-time PhD student × 80h/FTE; 1x assessor (8h each) = 248.0h</t>
        </is>
      </c>
      <c r="I26" s="4" t="inlineStr">
        <is>
          <t>Internationalisation and Visitors Coordinator: 5% of 1642h = 82.1h; Engagement (email/meetings): 100.0h; Personal development: 75.0h (FTE: 1.00)</t>
        </is>
      </c>
      <c r="J26" s="5" t="inlineStr">
        <is>
          <t>Module had 0 students - marking not calculated</t>
        </is>
      </c>
      <c r="K26" s="5" t="inlineStr">
        <is>
          <t>None</t>
        </is>
      </c>
    </row>
    <row r="27">
      <c r="A27" s="2" t="inlineStr">
        <is>
          <t>Poonam Yadav</t>
        </is>
      </c>
      <c r="B27" s="2" t="n">
        <v>1</v>
      </c>
      <c r="C27" s="3" t="n">
        <v>1706.12</v>
      </c>
      <c r="D27" s="3" t="n">
        <v>254.12</v>
      </c>
      <c r="E27" s="3" t="n">
        <v>1112.8</v>
      </c>
      <c r="F27" s="3" t="n">
        <v>339.2</v>
      </c>
      <c r="G27" s="4" t="inlineStr">
        <is>
          <t>SOF1 (20cr): Standard (2.5x): 15.0h; Practicals: 5 groups shared by 3 lecturers, 11w - Standard: 5.0h/week @ 2.5x + repeats (2 grps @ 1.5x); 10w @ 1.5x (weeks 2, 3, 4, 5, 6...); Total: 77.0h; 2 paper(s) set (1 assessment(s)): 15.0h each (2.5h main + 2.5h resit); 327 scripts + 65 resits x 0.330h = 129.4h total (107.9h initial + 21.4h resit), 43.1h per teacher; Project setting (fixed): 6.0h; Pastoral: 25 students x 3h = 75.0h; Projects: 2 projects x UG (16h) = 32.0h</t>
        </is>
      </c>
      <c r="H27" s="4" t="inlineStr">
        <is>
          <t>PhD supervision (primary supervisor, co-supervisor &amp; assessor) (2 × 80 + 6 × 48 + 1 × 8): 2x full-time PhD student × 80h/FTE; 6x part-time PhD student × 48h/FTE; 1x assessor (8h each) = 456.0h; Grant CHEDDAR Funding Apr-Sep 26- PSU296: 5% of 1642h = 82.1h; Grant REMOTE: Resilient and Secure Multi-Access Interoperable Communication Fabric for TinyEdge: 20% of 1642h = 328.4h; Grant Orchestrated mobile Network for Blackpool intelligent transport: 5% of 1642h = 82.1h</t>
        </is>
      </c>
      <c r="I27" s="4" t="inlineStr">
        <is>
          <t>Progression Panel: 10% of 1642h = 164.2h; Engagement (email/meetings): 100.0h; Personal development: 75.0h (FTE: 1.00)</t>
        </is>
      </c>
      <c r="J27" s="5" t="inlineStr">
        <is>
          <t>None</t>
        </is>
      </c>
      <c r="K27" s="5" t="inlineStr">
        <is>
          <t>None</t>
        </is>
      </c>
    </row>
    <row r="28">
      <c r="A28" s="2" t="inlineStr">
        <is>
          <t>Yan Jia</t>
        </is>
      </c>
      <c r="B28" s="2" t="n">
        <v>1</v>
      </c>
      <c r="C28" s="3" t="n">
        <v>1118.37</v>
      </c>
      <c r="D28" s="3" t="n">
        <v>304.67</v>
      </c>
      <c r="E28" s="3" t="n">
        <v>638.7</v>
      </c>
      <c r="F28" s="3" t="n">
        <v>175</v>
      </c>
      <c r="G28" s="4" t="inlineStr">
        <is>
          <t>ROCS (20cr): Standard (2.5x): 22.5h; Practicals: 2 groups shared by 2 lecturers, 11w - Standard: 5.0h/week @ 2.5x + repeats (0 grps @ 1.5x); 10w @ 1.5x (weeks 2, 3, 4, 5, 6...); Total: 55.0h; 4 paper(s) set (2 assessment(s)): 15.0h each (7.5h main + 7.5h resit); 82 scripts + 16 resits x 0.330h = 32.3h total (27.1h initial + 5.3h resit), 16.2h per teacher; Project setting (fixed): 6.0h; Pastoral: 9 students x 3h = 27.0h; Projects: 10 projects x UG (16h) = 160.0h; Also teaches: Foundations of Safe AI (Safe AI 1), Designing Safe AI (Safe AI 2) (SAINTS - not included in workload)</t>
        </is>
      </c>
      <c r="H28" s="4" t="inlineStr">
        <is>
          <t>PhD supervision (primary supervisor, co-supervisor &amp; assessor) (1 × 48 + 2 × 8): 1x part-time PhD student × 48h/FTE; 2x assessor (8h each) = 64.0h; Grant Encoding Empathy: Solving the Healthcare Workforce Crisis Through the Safe Deployment of an AI-Driven Voice-Based Clinical Conversational Assistant for Long Term Monitoring: 10% of 1642h = 164.2h; Grant Addressing the healthcare workforce crisis with a multilingual, accessible phone-based conversational agent for cataract surgery follow up.: 10% of 1642h = 164.2h; Grant The Centre for Assuring Autonomy: 5% of 1642h = 82.1h</t>
        </is>
      </c>
      <c r="I28" s="4" t="inlineStr">
        <is>
          <t>Engagement (email/meetings): 100.0h; Personal development: 75.0h (FTE: 1.00)</t>
        </is>
      </c>
      <c r="J28" s="5" t="inlineStr">
        <is>
          <t>None</t>
        </is>
      </c>
      <c r="K28" s="5" t="inlineStr">
        <is>
          <t>No administrative roles assigned</t>
        </is>
      </c>
    </row>
    <row r="29">
      <c r="A29" s="2" t="inlineStr">
        <is>
          <t>Vasileios Vasilakis</t>
        </is>
      </c>
      <c r="B29" s="2" t="n">
        <v>1</v>
      </c>
      <c r="C29" s="3" t="n">
        <v>968.1950000000001</v>
      </c>
      <c r="D29" s="3" t="n">
        <v>272.795</v>
      </c>
      <c r="E29" s="3" t="n">
        <v>356.2</v>
      </c>
      <c r="F29" s="3" t="n">
        <v>339.2</v>
      </c>
      <c r="G29" s="4" t="inlineStr">
        <is>
          <t>NETS (20cr): Standard (2.5x): 22.5h; Practicals: 2 groups shared by 2 lecturers, 5w - Standard: 5.0h/week @ 2.5x + repeats (0 grps @ 1.5x); 4w @ 1.5x (weeks 4, 5, 7, 9); Total: 25.0h; 2 paper(s) set (1 assessment(s)): 15.0h each (3.8h main + 3.8h resit); 103 scripts + 20 resits x 0.330h = 40.6h total (34.0h initial + 6.6h resit), 20.3h per teacher; Project setting (fixed): 6.0h; Pastoral: 26 students x 3h = 78.0h; Projects: 7 projects x UG (16h) = 112.0h</t>
        </is>
      </c>
      <c r="H29" s="4" t="inlineStr">
        <is>
          <t>PhD supervision (primary supervisor, co-supervisor &amp; assessor) (1 × 80 + 2 × 48 + 2 × 8): 1x full-time PhD student × 80h/FTE; 2x part-time PhD student × 48h/FTE; 2x assessor (8h each) = 192.0h</t>
        </is>
      </c>
      <c r="I29" s="4" t="inlineStr">
        <is>
          <t>Deputy CBoEs: 10% of 1642h = 164.2h; Engagement (email/meetings): 100.0h; Personal development: 75.0h (FTE: 1.00)</t>
        </is>
      </c>
      <c r="J29" s="5" t="inlineStr">
        <is>
          <t>None</t>
        </is>
      </c>
      <c r="K29" s="5" t="inlineStr">
        <is>
          <t>None</t>
        </is>
      </c>
    </row>
    <row r="30">
      <c r="A30" s="2" t="inlineStr">
        <is>
          <t>Kofi Appiah</t>
        </is>
      </c>
      <c r="B30" s="2" t="n">
        <v>1</v>
      </c>
      <c r="C30" s="3" t="n">
        <v>1168.183333333333</v>
      </c>
      <c r="D30" s="3" t="n">
        <v>390.6833333333333</v>
      </c>
      <c r="E30" s="3" t="n">
        <v>356.2</v>
      </c>
      <c r="F30" s="3" t="n">
        <v>421.3</v>
      </c>
      <c r="G30" s="4" t="inlineStr">
        <is>
          <t>SOF1 (20cr): Standard (2.5x): 15.0h; Practicals: 5 groups shared by 3 lecturers, 11w - Standard: 5.0h/week @ 2.5x + repeats (2 grps @ 1.5x); 10w @ 1.5x (weeks 2, 3, 4, 5, 6...); Total: 77.0h; 2 paper(s) set (1 assessment(s)): 15.0h each (2.5h main + 2.5h resit); 327 scripts + 65 resits x 0.330h = 129.4h total (107.9h initial + 21.4h resit), 43.1h per teacher; SOF2 (20cr): Standard (2.5x): 15.8h; Practicals: 5 groups shared by 3 lecturers, 11w - New: 5.0h/week @ 5x + repeats; Standard: 2.5h/week @ 2.5x + repeats (2 grps @ 1.5x); 10w @ 1.5x (weeks 2, 3, 4, 5, 6...); New: 66.0h, Standard: 38.5h; 4 paper(s) set (2 assessment(s)): 15.0h each (5.0h main + 5.0h resit); 328 scripts + 65 resits x 0.330h = 129.7h total (108.2h initial + 21.4h resit), 43.2h per teacher; Project setting (fixed): 6.0h; Pastoral: 18 students x 3h = 54.0h; Projects: 5 projects x UG (16h) = 80.0h</t>
        </is>
      </c>
      <c r="H30" s="4" t="inlineStr">
        <is>
          <t>PhD supervision (primary supervisor, co-supervisor &amp; assessor) (1 × 80 + 2 × 48 + 2 × 8): 1x full-time PhD student × 80h/FTE; 2x part-time PhD student × 48h/FTE; 2x assessor (8h each) = 192.0h</t>
        </is>
      </c>
      <c r="I30" s="4" t="inlineStr">
        <is>
          <t>Deputy Director of Admissions (UG Admissions): 15% of 1642h = 246.3h; Engagement (email/meetings): 100.0h; Personal development: 75.0h (FTE: 1.00)</t>
        </is>
      </c>
      <c r="J30" s="5" t="inlineStr">
        <is>
          <t>None</t>
        </is>
      </c>
      <c r="K30" s="5" t="inlineStr">
        <is>
          <t>None</t>
        </is>
      </c>
    </row>
    <row r="31">
      <c r="A31" s="2" t="inlineStr">
        <is>
          <t>Simon Foster</t>
        </is>
      </c>
      <c r="B31" s="2" t="n">
        <v>1</v>
      </c>
      <c r="C31" s="3" t="n">
        <v>771.63</v>
      </c>
      <c r="D31" s="3" t="n">
        <v>320.43</v>
      </c>
      <c r="E31" s="3" t="n">
        <v>276.2</v>
      </c>
      <c r="F31" s="3" t="n">
        <v>175</v>
      </c>
      <c r="G31" s="4" t="inlineStr">
        <is>
          <t>THE1 (20cr): New lecturer (5x): 6.3h base @ 2.5x + content dev = 32h; Practicals: 4 groups shared by 3 lecturers, 11w - New: 5.0h/week @ 5x + repeats; Standard: 2.5h/week @ 2.5x + repeats (1 grps @ 1.5x); 10w @ 1.5x (weeks 2, 3, 4, 5, 6...); New: 60.5h, Standard: 33.0h; 2 paper(s) set (1 assessment(s)): 15.0h each (2.5h main + 2.5h resit); 282 scripts + 56 resits x 0.330h = 111.5h total (93.1h initial + 18.5h resit), 37.2h per teacher; THE3 (20cr): Standard (2.5x): 15.8h; Practicals: 5 groups shared by 3 lecturers, 3w - New: 5.0h/week @ 5x + repeats; Standard: 2.5h/week @ 2.5x + repeats (2 grps @ 1.5x); 2w @ 1.5x (weeks 8, 9); New: 18.0h, Standard: 10.5h; 4 paper(s) set (2 assessment(s)): 15.0h each (5.0h main + 5.0h resit); 313 scripts + 62 resits x 0.330h = 123.8h total (103.3h initial + 20.5h resit), 41.2h per teacher; Project setting (fixed): 6.0h; Pastoral: 11 students x 3h = 33.0h; Projects: 4 projects x UG (16h) = 64.0h</t>
        </is>
      </c>
      <c r="H31" s="4" t="inlineStr">
        <is>
          <t>PhD supervision (primary supervisor, co-supervisor &amp; assessor) (2 × 48 + 2 × 8): 2x part-time PhD student × 48h/FTE; 2x assessor (8h each) = 112.0h</t>
        </is>
      </c>
      <c r="I31" s="4" t="inlineStr">
        <is>
          <t>Engagement (email/meetings): 100.0h; Personal development: 75.0h (FTE: 1.00)</t>
        </is>
      </c>
      <c r="J31" s="5" t="inlineStr">
        <is>
          <t>None</t>
        </is>
      </c>
      <c r="K31" s="5" t="inlineStr">
        <is>
          <t>No administrative roles assigned</t>
        </is>
      </c>
    </row>
    <row r="32">
      <c r="A32" s="2" t="inlineStr">
        <is>
          <t>Steven Xiaotian Dai</t>
        </is>
      </c>
      <c r="B32" s="2" t="n">
        <v>1</v>
      </c>
      <c r="C32" s="3" t="n">
        <v>1179.32</v>
      </c>
      <c r="D32" s="3" t="n">
        <v>325.62</v>
      </c>
      <c r="E32" s="3" t="n">
        <v>350.3</v>
      </c>
      <c r="F32" s="3" t="n">
        <v>503.4</v>
      </c>
      <c r="G32" s="4" t="inlineStr">
        <is>
          <t>HIPC (20cr): Standard (2.5x): 22.5h; Practicals: 3 groups shared by 2 lecturers, 11w - Standard: 5.0h/week @ 2.5x + repeats (1 grps @ 1.5x); 10w @ 1.5x (weeks 2, 3, 4, 5, 6...); Total: 71.5h; 2 paper(s) set (1 assessment(s)): 15.0h each (3.8h main + 3.8h resit); 62 scripts + 12 resits x 0.330h = 24.4h total (20.5h initial + 4.0h resit), 12.2h per teacher; EMBS (20cr): Standard (2.5x): 22.5h; Practicals: 2 groups shared by 2 lecturers, 11w - Standard: 5.0h/week @ 2.5x + repeats (0 grps @ 1.5x); 10w @ 1.5x (weeks 2, 3, 4, 5, 6...); Total: 55.0h; 2 paper(s) set (1 assessment(s)): 15.0h each (3.8h main + 3.8h resit); 45 scripts + 9 resits x 0.330h = 17.8h total (14.9h initial + 3.0h resit), 8.9h per teacher; Project setting (fixed): 6.0h; Pastoral: 15 students x 3h = 45.0h; Projects: 4 projects x UG (16h) = 64.0h</t>
        </is>
      </c>
      <c r="H32" s="4" t="inlineStr">
        <is>
          <t>PhD supervision (primary supervisor, co-supervisor &amp; assessor) (2 × 48 + 1 × 8): 2x part-time PhD student × 48h/FTE; 1x assessor (8h each) = 104.0h; Grant SCHEME: 5% of 1642h = 82.1h</t>
        </is>
      </c>
      <c r="I32" s="4" t="inlineStr">
        <is>
          <t>Student Disability Representative: 20% of 1642h = 328.4h; Engagement (email/meetings): 100.0h; Personal development: 75.0h (FTE: 1.00)</t>
        </is>
      </c>
      <c r="J32" s="5" t="inlineStr">
        <is>
          <t>None</t>
        </is>
      </c>
      <c r="K32" s="5" t="inlineStr">
        <is>
          <t>None</t>
        </is>
      </c>
    </row>
    <row r="33">
      <c r="A33" s="2" t="inlineStr">
        <is>
          <t>Roberto Metere</t>
        </is>
      </c>
      <c r="B33" s="2" t="n">
        <v>1</v>
      </c>
      <c r="C33" s="3" t="n">
        <v>956.9416666666666</v>
      </c>
      <c r="D33" s="3" t="n">
        <v>513.7416666666667</v>
      </c>
      <c r="E33" s="3" t="n">
        <v>268.2</v>
      </c>
      <c r="F33" s="3" t="n">
        <v>175</v>
      </c>
      <c r="G33" s="4" t="inlineStr">
        <is>
          <t>CTAP (20cr): Standard (2.5x): 14.2h; Practicals: 2 groups shared by 3 lecturers, 1w - Standard: 7.5h/week @ 2.5x + repeats (0 grps @ 1.5x); 10w @ 1.5x (weeks ...); Total: 7.5h; 2 paper(s) set (1 assessment(s)): 15.0h each (2.5h main + 2.5h resit); 89 scripts + 17 resits x 0.330h = 35.0h total (29.4h initial + 5.6h resit), 11.7h per teacher; EHAC (20cr): Standard (2.5x): 22.5h; Practicals: 2 groups shared by 2 lecturers, 11w - Standard: 5.0h/week @ 2.5x + repeats (0 grps @ 1.5x); 10w @ 1.5x (weeks 2, 3, 4, 5, 6...); Total: 55.0h; 4 paper(s) set (2 assessment(s)): 15.0h each (7.5h main + 7.5h resit); 56 scripts + 11 resits x 0.330h = 22.1h total (18.5h initial + 3.6h resit), 11.1h per teacher; CBDA (20cr): New lecturer (5x): 9.0h base @ 2.5x + content dev = 45h; Practicals: 3 groups shared by 2 lecturers, 11w - New: 10.0h/week @ 5x + repeats; Standard: 5.0h/week @ 2.5x + repeats (1 grps @ 1.5x); 10w @ 1.5x (weeks 2, 3, 4, 5, 6...); New: 126.5h, Standard: 71.5h; 2 paper(s) set (1 assessment(s)): 15.0h each (3.8h main + 3.8h resit); 29 scripts + 5 resits x 0.330h = 11.2h total (9.6h initial + 1.7h resit), 5.6h per teacher; Project setting (fixed): 6.0h; Pastoral: 20 students x 3h = 60.0h; Projects: 7 projects x UG (16h) = 112.0h</t>
        </is>
      </c>
      <c r="H33" s="4" t="inlineStr">
        <is>
          <t>PhD supervision (primary supervisor, co-supervisor &amp; assessor) (2 × 48 + 1 × 8): 2x part-time PhD student × 48h/FTE; 1x assessor (8h each) = 104.0h</t>
        </is>
      </c>
      <c r="I33" s="4" t="inlineStr">
        <is>
          <t>StAMP committee members: 0% of 1642h = 0.0h; Engagement (email/meetings): 100.0h; Personal development: 75.0h (FTE: 1.00)</t>
        </is>
      </c>
      <c r="J33" s="5" t="inlineStr">
        <is>
          <t>None</t>
        </is>
      </c>
      <c r="K33" s="5" t="inlineStr">
        <is>
          <t>None</t>
        </is>
      </c>
    </row>
    <row r="34">
      <c r="A34" s="2" t="inlineStr">
        <is>
          <t>Xinwei Fang</t>
        </is>
      </c>
      <c r="B34" s="2" t="n">
        <v>1</v>
      </c>
      <c r="C34" s="3" t="n">
        <v>925.8049999999999</v>
      </c>
      <c r="D34" s="3" t="n">
        <v>424.505</v>
      </c>
      <c r="E34" s="3" t="n">
        <v>244.2</v>
      </c>
      <c r="F34" s="3" t="n">
        <v>257.1</v>
      </c>
      <c r="G34" s="4" t="inlineStr">
        <is>
          <t>DATA (20cr): Standard (2.5x): 22.5h; Practicals: 4 groups shared by 2 lecturers, 11w - Standard: 5.0h/week @ 2.5x + repeats (2 grps @ 1.5x); 10w @ 1.5x (weeks 2, 3, 4, 5, 6...); Total: 88.0h; 2 paper(s) set (1 assessment(s)): 15.0h each (3.8h main + 3.8h resit); 296 scripts + 59 resits x 0.330h = 117.2h total (97.7h initial + 19.5h resit), 58.6h per teacher; GPIG (40cr): Standard (2.5x): 47.5h; Practicals: 1 groups shared by 2 lecturers, 4w - Standard: 5.0h/week @ 2.5x + repeats (0 grps @ 1.5x); 3w @ 1.5x (weeks 4, 6, 8); Total: 20.0h; 6 paper(s) set (3 assessment(s)): 15.0h each (11.2h main + 11.2h resit); 35 scripts + 7 resits x 0.330h = 13.9h total (11.6h initial + 2.3h resit), 6.9h per teacher; Project setting (fixed): 6.0h; Pastoral: 9 students x 3h = 27.0h; Projects: 7 projects x UG (16h) = 112.0h</t>
        </is>
      </c>
      <c r="H34" s="4" t="inlineStr">
        <is>
          <t>PhD supervision (primary supervisor, co-supervisor &amp; assessor) (1 × 80): 1x full-time PhD student × 80h/FTE = 80.0h</t>
        </is>
      </c>
      <c r="I34" s="4" t="inlineStr">
        <is>
          <t>Other PLs: 5% of 1642h = 82.1h; Engagement (email/meetings): 100.0h; Personal development: 75.0h (FTE: 1.00)</t>
        </is>
      </c>
      <c r="J34" s="5" t="inlineStr">
        <is>
          <t>None</t>
        </is>
      </c>
      <c r="K34" s="5" t="inlineStr">
        <is>
          <t>None</t>
        </is>
      </c>
    </row>
    <row r="35">
      <c r="A35" s="2" t="inlineStr">
        <is>
          <t>Claire Ingram</t>
        </is>
      </c>
      <c r="B35" s="2" t="n">
        <v>1</v>
      </c>
      <c r="C35" s="3" t="n">
        <v>643.1849999999999</v>
      </c>
      <c r="D35" s="3" t="n">
        <v>221.885</v>
      </c>
      <c r="E35" s="3" t="n">
        <v>164.2</v>
      </c>
      <c r="F35" s="3" t="n">
        <v>257.1</v>
      </c>
      <c r="G35" s="4" t="inlineStr">
        <is>
          <t>HINT (20cr): Standard (2.5x): 22.5h; Practicals: 1 groups shared by 2 lecturers, 2w - Standard: 5.0h/week @ 2.5x + repeats (0 grps @ 1.5x); 1w @ 1.5x (weeks 7); Total: 10.0h; 2 paper(s) set (1 assessment(s)): 15.0h each (3.8h main + 3.8h resit); 58 scripts + 11 resits x 0.330h = 22.8h total (19.1h initial + 3.6h resit), 11.4h per teacher; Project setting (fixed): 6.0h; Pastoral: 1 students x 3h = 3.0h; Projects: 10 projects x UG (16h) = 160.0h</t>
        </is>
      </c>
      <c r="H35" s="4" t="inlineStr">
        <is>
          <t>No research activities recorded</t>
        </is>
      </c>
      <c r="I35" s="4" t="inlineStr">
        <is>
          <t>Outreach and Extra-Curricular Activities: 5% of 1642h = 82.1h; Engagement (email/meetings): 100.0h; Personal development: 75.0h (FTE: 1.00)</t>
        </is>
      </c>
      <c r="J35" s="5" t="inlineStr">
        <is>
          <t>None</t>
        </is>
      </c>
      <c r="K35" s="5" t="inlineStr">
        <is>
          <t>None</t>
        </is>
      </c>
    </row>
    <row r="36">
      <c r="A36" s="2" t="inlineStr">
        <is>
          <t>Jo Iacovides</t>
        </is>
      </c>
      <c r="B36" s="2" t="n">
        <v>1</v>
      </c>
      <c r="C36" s="3" t="n">
        <v>1037.755</v>
      </c>
      <c r="D36" s="3" t="n">
        <v>350.355</v>
      </c>
      <c r="E36" s="3" t="n">
        <v>348.2</v>
      </c>
      <c r="F36" s="3" t="n">
        <v>339.2</v>
      </c>
      <c r="G36" s="4" t="inlineStr">
        <is>
          <t>QUAL (20cr): Standard (2.5x): 22.5h; Practicals: 1 groups shared by 2 lecturers, 11w - Standard: 5.0h/week @ 2.5x + repeats (0 grps @ 1.5x); 10w @ 1.5x (weeks 2, 3, 4, 5, 6...); Total: 55.0h; 2 paper(s) set (1 assessment(s)): 15.0h each (3.8h main + 3.8h resit); 40 scripts + 8 resits x 0.330h = 15.8h total (13.2h initial + 2.6h resit), 7.9h per teacher; PLEI (20cr): Standard (2.5x): 22.5h; Practicals: 1 groups shared by 2 lecturers, 11w - Standard: 5.0h/week @ 2.5x + repeats (0 grps @ 1.5x); 10w @ 1.5x (weeks 2, 3, 4, 5, 6...); Total: 55.0h; 4 paper(s) set (2 assessment(s)): 15.0h each (7.5h main + 7.5h resit); 33 scripts + 6 resits x 0.330h = 12.9h total (10.9h initial + 2.0h resit), 6.4h per teacher; Project setting (fixed): 6.0h; Pastoral: 12 students x 3h = 36.0h; Projects: 7 projects x UG (16h) = 112.0h</t>
        </is>
      </c>
      <c r="H36" s="4" t="inlineStr">
        <is>
          <t>PhD supervision (primary supervisor, co-supervisor &amp; assessor) (3 × 48 + 5 × 8): 3x part-time PhD student × 48h/FTE; 5x assessor (8h each) = 184.0h</t>
        </is>
      </c>
      <c r="I36" s="4" t="inlineStr">
        <is>
          <t>Progression Panel: 10% of 1642h = 164.2h; Engagement (email/meetings): 100.0h; Personal development: 75.0h (FTE: 1.00)</t>
        </is>
      </c>
      <c r="J36" s="5" t="inlineStr">
        <is>
          <t>Module had 0 students - marking not calculated</t>
        </is>
      </c>
      <c r="K36" s="5" t="inlineStr">
        <is>
          <t>None</t>
        </is>
      </c>
    </row>
    <row r="37">
      <c r="A37" s="2" t="inlineStr">
        <is>
          <t>Jen Beeston</t>
        </is>
      </c>
      <c r="B37" s="2" t="n">
        <v>1</v>
      </c>
      <c r="C37" s="3" t="n">
        <v>877</v>
      </c>
      <c r="D37" s="3" t="n">
        <v>369.8</v>
      </c>
      <c r="E37" s="3" t="n">
        <v>332.2</v>
      </c>
      <c r="F37" s="3" t="n">
        <v>175</v>
      </c>
      <c r="G37" s="4" t="inlineStr">
        <is>
          <t>QUAL (20cr): Standard (2.5x): 22.5h; Practicals: 1 groups shared by 2 lecturers, 11w - Standard: 5.0h/week @ 2.5x + repeats (0 grps @ 1.5x); 10w @ 1.5x (weeks 2, 3, 4, 5, 6...); Total: 55.0h; 2 paper(s) set (1 assessment(s)): 15.0h each (3.8h main + 3.8h resit); 40 scripts + 8 resits x 0.330h = 15.8h total (13.2h initial + 2.6h resit), 7.9h per teacher; TECC (20cr): Standard (2.5x): 22.5h; Practicals: 2 groups shared by 2 lecturers, 11w - Standard: 5.0h/week @ 2.5x + repeats (0 grps @ 1.5x); 10w @ 1.5x (weeks 2, 3, 4, 5, 6...); Total: 55.0h; 2 paper(s) set (1 assessment(s)): 15.0h each (3.8h main + 3.8h resit); 60 scripts + 12 resits x 0.330h = 23.8h total (19.8h initial + 4.0h resit), 11.9h per teacher; Project setting (fixed): 6.0h; Pastoral: 9 students x 3h = 27.0h; Projects: 9 projects x UG (16h) = 144.0h</t>
        </is>
      </c>
      <c r="H37" s="4" t="inlineStr">
        <is>
          <t>PhD supervision (primary supervisor, co-supervisor &amp; assessor) (3 × 48 + 3 × 8): 3x part-time PhD student × 48h/FTE; 3x assessor (8h each) = 168.0h</t>
        </is>
      </c>
      <c r="I37" s="4" t="inlineStr">
        <is>
          <t>Chair of the Department Education Committee: 0% of 1642h = 0.0h; Engagement (email/meetings): 100.0h; Personal development: 75.0h (FTE: 1.00)</t>
        </is>
      </c>
      <c r="J37" s="5" t="inlineStr">
        <is>
          <t>Module had 0 students - marking not calculated; Module had 0 students - marking not calculated</t>
        </is>
      </c>
      <c r="K37" s="5" t="inlineStr">
        <is>
          <t>None</t>
        </is>
      </c>
    </row>
    <row r="38">
      <c r="A38" s="2" t="inlineStr">
        <is>
          <t>Rob Alexander</t>
        </is>
      </c>
      <c r="B38" s="2" t="n">
        <v>1</v>
      </c>
      <c r="C38" s="3" t="n">
        <v>783.1849999999999</v>
      </c>
      <c r="D38" s="3" t="n">
        <v>209.885</v>
      </c>
      <c r="E38" s="3" t="n">
        <v>398.3</v>
      </c>
      <c r="F38" s="3" t="n">
        <v>175</v>
      </c>
      <c r="G38" s="4" t="inlineStr">
        <is>
          <t>HINT (20cr): Standard (2.5x): 22.5h; Practicals: 1 groups shared by 2 lecturers, 2w - Standard: 5.0h/week @ 2.5x + repeats (0 grps @ 1.5x); 1w @ 1.5x (weeks 7); Total: 10.0h; 2 paper(s) set (1 assessment(s)): 15.0h each (3.8h main + 3.8h resit); 58 scripts + 11 resits x 0.330h = 22.8h total (19.1h initial + 3.6h resit), 11.4h per teacher; Project setting (fixed): 6.0h; Pastoral: 13 students x 3h = 39.0h; Projects: 7 projects x UG (16h) = 112.0h</t>
        </is>
      </c>
      <c r="H38" s="4" t="inlineStr">
        <is>
          <t>PhD supervision (primary supervisor, co-supervisor &amp; assessor) (3 × 48 + 1 × 8): 3x part-time PhD student × 48h/FTE; 1x assessor (8h each) = 152.0h; Grant The Centre for Assuring Autonomy: 5% of 1642h = 82.1h</t>
        </is>
      </c>
      <c r="I38" s="4" t="inlineStr">
        <is>
          <t>StAMP committee members: 0% of 1642h = 0.0h; Engagement (email/meetings): 100.0h; Personal development: 75.0h (FTE: 1.00)</t>
        </is>
      </c>
      <c r="J38" s="5" t="inlineStr">
        <is>
          <t>None</t>
        </is>
      </c>
      <c r="K38" s="5" t="inlineStr">
        <is>
          <t>None</t>
        </is>
      </c>
    </row>
    <row r="39">
      <c r="A39" s="2" t="inlineStr">
        <is>
          <t>Mike Freeman</t>
        </is>
      </c>
      <c r="B39" s="2" t="n">
        <v>1</v>
      </c>
      <c r="C39" s="3" t="n">
        <v>970.4433333333333</v>
      </c>
      <c r="D39" s="3" t="n">
        <v>549.1433333333333</v>
      </c>
      <c r="E39" s="3" t="n">
        <v>164.2</v>
      </c>
      <c r="F39" s="3" t="n">
        <v>257.1</v>
      </c>
      <c r="G39" s="4" t="inlineStr">
        <is>
          <t>SYS1 (20cr): Standard (2.5x): 15.0h; Practicals: 5 groups shared by 3 lecturers, 11w - Standard: 5.0h/week @ 2.5x + repeats (2 grps @ 1.5x); 10w @ 1.5x (weeks 2, 3, 4, 5, 6...); Total: 77.0h; 2 paper(s) set (1 assessment(s)): 15.0h each (2.5h main + 2.5h resit); 283 scripts + 56 resits x 0.330h = 111.9h total (93.4h initial + 18.5h resit), 37.3h per teacher; SYS2 (20cr): Standard (2.5x): 13.3h; Practicals: 5 groups shared by 3 lecturers, 11w - New: 20.0h/week @ 5x + repeats; Standard: 10.0h/week @ 2.5x + repeats (2 grps @ 1.5x); 10w @ 1.5x (weeks 2, 3, 4, 5, 6...); New: 264.0h, Standard: 154.0h; 2 paper(s) set (1 assessment(s)): 15.0h each (2.5h main + 2.5h resit); 277 scripts + 55 resits x 0.330h = 109.6h total (91.4h initial + 18.2h resit), 36.5h per teacher; Project setting (fixed): 6.0h; Pastoral: 18 students x 3h = 54.0h; Projects: 9 projects x UG (16h) = 144.0h</t>
        </is>
      </c>
      <c r="H39" s="4" t="inlineStr">
        <is>
          <t>No research activities recorded</t>
        </is>
      </c>
      <c r="I39" s="4" t="inlineStr">
        <is>
          <t>Academic Admissions Team: 5% of 1642h = 82.1h; Engagement (email/meetings): 100.0h; Personal development: 75.0h (FTE: 1.00)</t>
        </is>
      </c>
      <c r="J39" s="5" t="inlineStr">
        <is>
          <t>None</t>
        </is>
      </c>
      <c r="K39" s="5" t="inlineStr">
        <is>
          <t>None</t>
        </is>
      </c>
    </row>
    <row r="40">
      <c r="A40" s="2" t="inlineStr">
        <is>
          <t>Andrew Pomfret</t>
        </is>
      </c>
      <c r="B40" s="2" t="n">
        <v>1</v>
      </c>
      <c r="C40" s="3" t="n">
        <v>949.4433333333333</v>
      </c>
      <c r="D40" s="3" t="n">
        <v>528.1433333333333</v>
      </c>
      <c r="E40" s="3" t="n">
        <v>164.2</v>
      </c>
      <c r="F40" s="3" t="n">
        <v>257.1</v>
      </c>
      <c r="G40" s="4" t="inlineStr">
        <is>
          <t>SYS1 (20cr): Standard (2.5x): 15.0h; Practicals: 5 groups shared by 3 lecturers, 11w - Standard: 5.0h/week @ 2.5x + repeats (2 grps @ 1.5x); 10w @ 1.5x (weeks 2, 3, 4, 5, 6...); Total: 77.0h; 2 paper(s) set (1 assessment(s)): 15.0h each (2.5h main + 2.5h resit); 283 scripts + 56 resits x 0.330h = 111.9h total (93.4h initial + 18.5h resit), 37.3h per teacher; SYS2 (20cr): Standard (2.5x): 13.3h; Practicals: 5 groups shared by 3 lecturers, 11w - New: 20.0h/week @ 5x + repeats; Standard: 10.0h/week @ 2.5x + repeats (2 grps @ 1.5x); 10w @ 1.5x (weeks 2, 3, 4, 5, 6...); New: 264.0h, Standard: 154.0h; 2 paper(s) set (1 assessment(s)): 15.0h each (2.5h main + 2.5h resit); 277 scripts + 55 resits x 0.330h = 109.6h total (91.4h initial + 18.2h resit), 36.5h per teacher; Project setting (fixed): 6.0h; Pastoral: 11 students x 3h = 33.0h; Projects: 9 projects x UG (16h) = 144.0h</t>
        </is>
      </c>
      <c r="H40" s="4" t="inlineStr">
        <is>
          <t>No research activities recorded</t>
        </is>
      </c>
      <c r="I40" s="4" t="inlineStr">
        <is>
          <t>Academic Admissions Team: 5% of 1642h = 82.1h; Engagement (email/meetings): 100.0h; Personal development: 75.0h (FTE: 1.00)</t>
        </is>
      </c>
      <c r="J40" s="5" t="inlineStr">
        <is>
          <t>None</t>
        </is>
      </c>
      <c r="K40" s="5" t="inlineStr">
        <is>
          <t>None</t>
        </is>
      </c>
    </row>
    <row r="41">
      <c r="A41" s="2" t="inlineStr">
        <is>
          <t>Frank Soboczenski</t>
        </is>
      </c>
      <c r="B41" s="2" t="n">
        <v>1</v>
      </c>
      <c r="C41" s="3" t="n">
        <v>2383.82</v>
      </c>
      <c r="D41" s="3" t="n">
        <v>332.3</v>
      </c>
      <c r="E41" s="3" t="n">
        <v>1794.42</v>
      </c>
      <c r="F41" s="3" t="n">
        <v>257.1</v>
      </c>
      <c r="G41" s="4" t="inlineStr">
        <is>
          <t>LLMA (20cr): Standard (2.5x): 22.5h; Practicals: 1 groups shared by 2 lecturers, 11w - New: 10.0h/week @ 5x + repeats; Standard: 5.0h/week @ 2.5x + repeats (0 grps @ 1.5x); 10w @ 1.5x (weeks 2, 3, 4, 5, 6...); New: 110.0h, Standard: 55.0h; 2 paper(s) set (1 assessment(s)): 15.0h each (3.8h main + 3.8h resit); 100 scripts + 20 resits x 0.330h = 39.6h total (33.0h initial + 6.6h resit), 19.8h per teacher; Project setting (fixed): 6.0h; Pastoral: 20 students (default) x 3h = 60.0h; Projects: 10 projects x UG (16h) = 160.0h; Also teaches: Artificial Intelligence (AI) (SAINTS - not included in workload)</t>
        </is>
      </c>
      <c r="H41" s="4" t="inlineStr">
        <is>
          <t>PhD supervision (primary supervisor, co-supervisor &amp; assessor) (2 × 48 + 5 × 8): 2x part-time PhD student × 48h/FTE; 5x assessor (8h each) = 136.0h; Grant Large Language Models for lattice-theoretic reasoning of reactive programs: 11% of 1642h = 180.6h; Grant Alan Turing AI Fellowship: 80% of 1642h = 1313.6h</t>
        </is>
      </c>
      <c r="I41" s="4" t="inlineStr">
        <is>
          <t>Academic Admissions Team: 5% of 1642h = 82.1h; Engagement (email/meetings): 100.0h; Personal development: 75.0h (FTE: 1.00)</t>
        </is>
      </c>
      <c r="J41" s="5" t="inlineStr">
        <is>
          <t>Module had 0 students - marking not calculated</t>
        </is>
      </c>
      <c r="K41" s="5" t="inlineStr">
        <is>
          <t>None</t>
        </is>
      </c>
    </row>
    <row r="42">
      <c r="A42" s="2" t="inlineStr">
        <is>
          <t>Carlo Ottaviani</t>
        </is>
      </c>
      <c r="B42" s="2" t="n">
        <v>1</v>
      </c>
      <c r="C42" s="3" t="n">
        <v>940.2816666666668</v>
      </c>
      <c r="D42" s="3" t="n">
        <v>332.8816666666667</v>
      </c>
      <c r="E42" s="3" t="n">
        <v>268.2</v>
      </c>
      <c r="F42" s="3" t="n">
        <v>339.2</v>
      </c>
      <c r="G42" s="4" t="inlineStr">
        <is>
          <t>CTAP (20cr): Standard (2.5x): 14.2h; Practicals: 2 groups shared by 3 lecturers, 1w - Standard: 7.5h/week @ 2.5x + repeats (0 grps @ 1.5x); 10w @ 1.5x (weeks ...); Total: 7.5h; 2 paper(s) set (1 assessment(s)): 15.0h each (2.5h main + 2.5h resit); 89 scripts + 17 resits x 0.330h = 35.0h total (29.4h initial + 5.6h resit), 11.7h per teacher; PRAD (20cr): Standard (2.5x): 22.5h; Practicals: 2 groups shared by 2 lecturers, 11w - Standard: 5.0h/week @ 2.5x + repeats (0 grps @ 1.5x); 10w @ 1.5x (weeks 2, 3, 4, 5, 6...); Total: 55.0h; 2 paper(s) set (1 assessment(s)): 15.0h each (3.8h main + 3.8h resit); 56 scripts + 11 resits x 0.330h = 22.1h total (18.5h initial + 3.6h resit), 11.1h per teacher; Project setting (fixed): 6.0h; Pastoral: 26 students x 3h = 78.0h; Projects: 7 projects x UG (16h) = 112.0h</t>
        </is>
      </c>
      <c r="H42" s="4" t="inlineStr">
        <is>
          <t>PhD supervision (primary supervisor, co-supervisor &amp; assessor) (1 × 80 + 3 × 8): 1x full-time PhD student × 80h/FTE; 3x assessor (8h each) = 104.0h</t>
        </is>
      </c>
      <c r="I42" s="4" t="inlineStr">
        <is>
          <t>Progression Panel: 10% of 1642h = 164.2h; Engagement (email/meetings): 100.0h; Personal development: 75.0h (FTE: 1.00)</t>
        </is>
      </c>
      <c r="J42" s="5" t="inlineStr">
        <is>
          <t>None</t>
        </is>
      </c>
      <c r="K42" s="5" t="inlineStr">
        <is>
          <t>None</t>
        </is>
      </c>
    </row>
    <row r="43">
      <c r="A43" s="2" t="inlineStr">
        <is>
          <t>William Smith</t>
        </is>
      </c>
      <c r="B43" s="2" t="n">
        <v>1</v>
      </c>
      <c r="C43" s="3" t="n">
        <v>1321.76</v>
      </c>
      <c r="D43" s="3" t="n">
        <v>347.41</v>
      </c>
      <c r="E43" s="3" t="n">
        <v>676.2</v>
      </c>
      <c r="F43" s="3" t="n">
        <v>298.15</v>
      </c>
      <c r="G43" s="4" t="inlineStr">
        <is>
          <t>ROCS (20cr): Standard (2.5x): 22.5h; Practicals: 2 groups shared by 2 lecturers, 11w - Standard: 5.0h/week @ 2.5x + repeats (0 grps @ 1.5x); 10w @ 1.5x (weeks 2, 3, 4, 5, 6...); Total: 55.0h; 4 paper(s) set (2 assessment(s)): 15.0h each (7.5h main + 7.5h resit); 82 scripts + 16 resits x 0.330h = 32.3h total (27.1h initial + 5.3h resit), 16.2h per teacher; DEEP (20cr): Standard (2.5x): 22.5h; Practicals: 3 groups shared by 2 lecturers, 11w - New: 10.0h/week @ 5x + repeats; Standard: 5.0h/week @ 2.5x + repeats (1 grps @ 1.5x); 10w @ 1.5x (weeks 2, 3, 4, 5, 6...); New: 126.5h, Standard: 71.5h; 2 paper(s) set (1 assessment(s)): 15.0h each (3.8h main + 3.8h resit); 130 scripts + 26 resits x 0.330h = 51.5h total (42.9h initial + 8.6h resit), 25.7h per teacher; Project setting (fixed): 6.0h; Pastoral: 7 students x 3h = 21.0h; Projects: 5 projects x UG (16h) = 80.0h</t>
        </is>
      </c>
      <c r="H43" s="4" t="inlineStr">
        <is>
          <t>PhD supervision (primary supervisor, co-supervisor &amp; assessor) (4 × 80 + 3 × 48 + 6 × 8): 4x full-time PhD student × 80h/FTE; 3x part-time PhD student × 48h/FTE; 6x assessor (8h each) = 512.0h</t>
        </is>
      </c>
      <c r="I43" s="4" t="inlineStr">
        <is>
          <t>Director of Admissions: 5% of 1642h = 82.1h; Internally Distributed Funding panel reviewer: 2% of 1642h = 41.1h; Engagement (email/meetings): 100.0h; Personal development: 75.0h (FTE: 1.00)</t>
        </is>
      </c>
      <c r="J43" s="5" t="inlineStr">
        <is>
          <t>Module had 0 students - marking not calculated</t>
        </is>
      </c>
      <c r="K43" s="5" t="inlineStr">
        <is>
          <t>None</t>
        </is>
      </c>
    </row>
    <row r="44">
      <c r="A44" s="2" t="inlineStr">
        <is>
          <t>Robbert Jongeling</t>
        </is>
      </c>
      <c r="B44" s="2" t="n">
        <v>1</v>
      </c>
      <c r="C44" s="3" t="n">
        <v>754.48</v>
      </c>
      <c r="D44" s="3" t="n">
        <v>415.28</v>
      </c>
      <c r="E44" s="3" t="n">
        <v>164.2</v>
      </c>
      <c r="F44" s="3" t="n">
        <v>175</v>
      </c>
      <c r="G44" s="4" t="inlineStr">
        <is>
          <t>ENG1 (20cr): New lecturer (5x): 6.0h base @ 2.5x + content dev = 30h; Practicals: 4 groups shared by 3 lecturers, 11w - New: 10.0h/week @ 5x + repeats; Standard: 5.0h/week @ 2.5x + repeats (1 grps @ 1.5x); 10w @ 1.5x (weeks 2, 3, 4, 5, 6...); New: 121.0h, Standard: 66.0h; 4 paper(s) set (2 assessment(s)): 15.0h each (5.0h main + 5.0h resit); 315 scripts + 63 resits x 0.330h = 124.7h total (104.0h initial + 20.8h resit), 41.6h per teacher; ELLA (20cr): New lecturer (5x): 6.0h base @ 2.5x + content dev = 30h; Practicals: 2 groups shared by 3 lecturers, 11w - New: 10.0h/week @ 5x + repeats; Standard: 5.0h/week @ 2.5x + repeats (0 grps @ 1.5x); 10w @ 1.5x (weeks 2, 3, 4, 5, 6...); New: 110.0h, Standard: 55.0h; 2 paper(s) set (1 assessment(s)): 15.0h each (2.5h main + 2.5h resit); 100 scripts + 20 resits x 0.330h = 39.6h total (33.0h initial + 6.6h resit), 13.2h per teacher; Project setting (fixed): 6.0h; Pastoral: 2 students x 3h = 6.0h; Projects: 2 projects x UG (16h) = 32.0h</t>
        </is>
      </c>
      <c r="H44" s="4" t="inlineStr">
        <is>
          <t>No research activities recorded</t>
        </is>
      </c>
      <c r="I44" s="4" t="inlineStr">
        <is>
          <t>Engagement (email/meetings): 100.0h; Personal development: 75.0h (FTE: 1.00)</t>
        </is>
      </c>
      <c r="J44" s="5" t="inlineStr">
        <is>
          <t>Module had 0 students - marking not calculated</t>
        </is>
      </c>
      <c r="K44" s="5" t="inlineStr">
        <is>
          <t>No administrative roles assigned</t>
        </is>
      </c>
    </row>
    <row r="45">
      <c r="A45" s="2" t="inlineStr">
        <is>
          <t>Dimitris Kolovos</t>
        </is>
      </c>
      <c r="B45" s="2" t="n">
        <v>1</v>
      </c>
      <c r="C45" s="3" t="n">
        <v>1599.82</v>
      </c>
      <c r="D45" s="3" t="n">
        <v>309.92</v>
      </c>
      <c r="E45" s="3" t="n">
        <v>1114.9</v>
      </c>
      <c r="F45" s="3" t="n">
        <v>175</v>
      </c>
      <c r="G45" s="4" t="inlineStr">
        <is>
          <t>ENG2 (20cr): Standard (2.5x): 15.0h; Practicals: 1 groups shared by 3 lecturers, 11w - Standard: 5.0h/week @ 2.5x + repeats (0 grps @ 1.5x); 10w @ 1.5x (weeks 2, 3, 4, 5, 6...); Total: 55.0h; 2 paper(s) set (1 assessment(s)): 15.0h each (2.5h main + 2.5h resit); 60 scripts + 12 resits x 0.330h = 23.8h total (19.8h initial + 4.0h resit), 7.9h per teacher; Project setting (fixed): 6.0h; Pastoral: 20 students (default) x 3h = 60.0h; Projects: 10 projects x UG (16h) = 160.0h</t>
        </is>
      </c>
      <c r="H45" s="4" t="inlineStr">
        <is>
          <t>PhD supervision (primary supervisor, co-supervisor &amp; assessor) (1 × 80 + 6 × 48 + 1 × 8): 1x full-time PhD student × 80h/FTE; 6x part-time PhD student × 48h/FTE; 1x assessor (8h each) = 376.0h; Grant Socially-Acceptable and Trustworthy Human-Robot Teaming for Agile Industries (SYMPHONY Resubmission): 5% of 1642h = 82.1h; Grant MOSAICO: 5% of 1642h = 82.1h; Grant SCHEME: 20% of 1642h = 328.4h; Grant Cavecore: Doctoral Network on Continuous, Automated Validation, and Evaluation of Cognitive Robots in Open-Ended Environments: 5% of 1642h = 82.1h</t>
        </is>
      </c>
      <c r="I45" s="4" t="inlineStr">
        <is>
          <t>Engagement (email/meetings): 100.0h; Personal development: 75.0h (FTE: 1.00)</t>
        </is>
      </c>
      <c r="J45" s="5" t="inlineStr">
        <is>
          <t>Module had 0 students - marking not calculated</t>
        </is>
      </c>
      <c r="K45" s="5" t="inlineStr">
        <is>
          <t>No administrative roles assigned</t>
        </is>
      </c>
    </row>
    <row r="46">
      <c r="A46" s="2" t="inlineStr">
        <is>
          <t>Pourya Shamsolmoali</t>
        </is>
      </c>
      <c r="B46" s="2" t="n">
        <v>1</v>
      </c>
      <c r="C46" s="3" t="n">
        <v>922.465</v>
      </c>
      <c r="D46" s="3" t="n">
        <v>396.115</v>
      </c>
      <c r="E46" s="3" t="n">
        <v>228.2</v>
      </c>
      <c r="F46" s="3" t="n">
        <v>298.15</v>
      </c>
      <c r="G46" s="4" t="inlineStr">
        <is>
          <t>IMLO (20cr): Standard (2.5x): 15.0h; Practicals: 4 groups shared by 3 lecturers, 11w - Standard: 5.0h/week @ 2.5x + repeats (1 grps @ 1.5x); 10w @ 1.5x (weeks 2, 3, 4, 5, 6...); Total: 66.0h; 4 paper(s) set (2 assessment(s)): 15.0h each (5.0h main + 5.0h resit); 304 scripts + 60 resits x 0.330h = 120.1h total (100.3h initial + 19.8h resit), 40.0h per teacher; DATA (20cr): Standard (2.5x): 22.5h; Practicals: 4 groups shared by 2 lecturers, 11w - Standard: 5.0h/week @ 2.5x + repeats (2 grps @ 1.5x); 10w @ 1.5x (weeks 2, 3, 4, 5, 6...); Total: 88.0h; 2 paper(s) set (1 assessment(s)): 15.0h each (3.8h main + 3.8h resit); 296 scripts + 59 resits x 0.330h = 117.2h total (97.7h initial + 19.5h resit), 58.6h per teacher; Project setting (fixed): 6.0h; Pastoral: 5 students x 3h = 15.0h; Projects: 4 projects x UG (16h) = 64.0h</t>
        </is>
      </c>
      <c r="H46" s="4" t="inlineStr">
        <is>
          <t>PhD supervision (primary supervisor, co-supervisor &amp; assessor) (1 × 48 + 2 × 8): 1x part-time PhD student × 48h/FTE; 2x assessor (8h each) = 64.0h</t>
        </is>
      </c>
      <c r="I46" s="4" t="inlineStr">
        <is>
          <t>Other PLs: 5% of 1642h = 82.1h; Graduate School Board (Ordinary member): 2% of 1642h = 41.1h; Engagement (email/meetings): 100.0h; Personal development: 75.0h (FTE: 1.00)</t>
        </is>
      </c>
      <c r="J46" s="5" t="inlineStr">
        <is>
          <t>None</t>
        </is>
      </c>
      <c r="K46" s="5" t="inlineStr">
        <is>
          <t>None</t>
        </is>
      </c>
    </row>
    <row r="47">
      <c r="A47" s="2" t="inlineStr">
        <is>
          <t>Christopher Crispin-Bailey</t>
        </is>
      </c>
      <c r="B47" s="2" t="n">
        <v>1</v>
      </c>
      <c r="C47" s="3" t="n">
        <v>1282.536666666667</v>
      </c>
      <c r="D47" s="3" t="n">
        <v>655.9866666666667</v>
      </c>
      <c r="E47" s="3" t="n">
        <v>164.2</v>
      </c>
      <c r="F47" s="3" t="n">
        <v>462.35</v>
      </c>
      <c r="G47" s="4" t="inlineStr">
        <is>
          <t>SYS2 (20cr): New lecturer (5x): 5.3h base @ 2.5x + content dev = 27h; Practicals: 5 groups shared by 3 lecturers, 11w - New: 20.0h/week @ 5x + repeats; Standard: 10.0h/week @ 2.5x + repeats (2 grps @ 1.5x); 10w @ 1.5x (weeks 2, 3, 4, 5, 6...); New: 264.0h, Standard: 154.0h; 2 paper(s) set (1 assessment(s)): 15.0h each (2.5h main + 2.5h resit); 277 scripts + 55 resits x 0.330h = 109.6h total (91.4h initial + 18.2h resit), 36.5h per teacher; SYS3 (20cr): Standard (2.5x): 15.0h; Practicals: 6 groups shared by 3 lecturers, 11w - New: 10.0h/week @ 5x + repeats; Standard: 5.0h/week @ 2.5x + repeats (3 grps @ 1.5x); 10w @ 1.5x (weeks 2, 3, 4, 5, 6...); New: 143.0h, Standard: 88.0h; 2 paper(s) set (1 assessment(s)): 15.0h each (2.5h main + 2.5h resit); 275 scripts + 55 resits x 0.330h = 108.9h total (90.8h initial + 18.2h resit), 36.3h per teacher; Project setting (fixed): 6.0h; Pastoral: 19 students x 3h = 57.0h; Projects: 7 projects x UG (16h) = 112.0h</t>
        </is>
      </c>
      <c r="H47" s="4" t="inlineStr">
        <is>
          <t>No research activities recorded</t>
        </is>
      </c>
      <c r="I47" s="4" t="inlineStr">
        <is>
          <t>GTA Coordinator: 10% of 1642h = 164.2h; Union: 8% of 1642h = 123.1h; Engagement (email/meetings): 100.0h; Personal development: 75.0h (FTE: 1.00)</t>
        </is>
      </c>
      <c r="J47" s="5" t="inlineStr">
        <is>
          <t>None</t>
        </is>
      </c>
      <c r="K47" s="5" t="inlineStr">
        <is>
          <t>None</t>
        </is>
      </c>
    </row>
    <row r="48">
      <c r="A48" s="2" t="inlineStr">
        <is>
          <t>Da Li</t>
        </is>
      </c>
      <c r="B48" s="2" t="n">
        <v>1</v>
      </c>
      <c r="C48" s="3" t="n">
        <v>750</v>
      </c>
      <c r="D48" s="3" t="n">
        <v>410.8</v>
      </c>
      <c r="E48" s="3" t="n">
        <v>164.2</v>
      </c>
      <c r="F48" s="3" t="n">
        <v>175</v>
      </c>
      <c r="G48" s="4" t="inlineStr">
        <is>
          <t>SYS3 (20cr): New lecturer (5x): 6.0h base @ 2.5x + content dev = 30h; Practicals: 6 groups shared by 3 lecturers, 11w - New: 10.0h/week @ 5x + repeats; Standard: 5.0h/week @ 2.5x + repeats (3 grps @ 1.5x); 10w @ 1.5x (weeks 2, 3, 4, 5, 6...); New: 143.0h, Standard: 88.0h; 2 paper(s) set (1 assessment(s)): 15.0h each (2.5h main + 2.5h resit); 275 scripts + 55 resits x 0.330h = 108.9h total (90.8h initial + 18.2h resit), 36.3h per teacher; Project setting (fixed): 6.0h; Pastoral: 25 students x 3h = 75.0h; Projects: 7 projects x UG (16h) = 112.0h</t>
        </is>
      </c>
      <c r="H48" s="4" t="inlineStr">
        <is>
          <t>No research activities recorded</t>
        </is>
      </c>
      <c r="I48" s="4" t="inlineStr">
        <is>
          <t>Engagement (email/meetings): 100.0h; Personal development: 75.0h (FTE: 1.00)</t>
        </is>
      </c>
      <c r="J48" s="5" t="inlineStr">
        <is>
          <t>None</t>
        </is>
      </c>
      <c r="K48" s="5" t="inlineStr">
        <is>
          <t>No administrative roles assigned</t>
        </is>
      </c>
    </row>
    <row r="49">
      <c r="A49" s="2" t="inlineStr">
        <is>
          <t>Pedro Ribeiro</t>
        </is>
      </c>
      <c r="B49" s="2" t="n">
        <v>1</v>
      </c>
      <c r="C49" s="3" t="n">
        <v>1329.73</v>
      </c>
      <c r="D49" s="3" t="n">
        <v>345.93</v>
      </c>
      <c r="E49" s="3" t="n">
        <v>644.6</v>
      </c>
      <c r="F49" s="3" t="n">
        <v>339.2</v>
      </c>
      <c r="G49" s="4" t="inlineStr">
        <is>
          <t>SYS1 (20cr): Standard (2.5x): 15.0h; Practicals: 5 groups shared by 3 lecturers, 11w - Standard: 5.0h/week @ 2.5x + repeats (2 grps @ 1.5x); 10w @ 1.5x (weeks 2, 3, 4, 5, 6...); Total: 77.0h; 2 paper(s) set (1 assessment(s)): 15.0h each (2.5h main + 2.5h resit); 283 scripts + 56 resits x 0.330h = 111.9h total (93.4h initial + 18.5h resit), 37.3h per teacher; AURO (20cr): Standard (2.5x): 15.0h; Practicals: 1 groups shared by 3 lecturers, 11w - New: 10.0h/week @ 5x + repeats; Standard: 5.0h/week @ 2.5x + repeats (0 grps @ 1.5x); 10w @ 1.5x (weeks 2, 3, 4, 5, 6...); New: 110.0h, Standard: 55.0h; 2 paper(s) set (1 assessment(s)): 15.0h each (2.5h main + 2.5h resit); 104 scripts + 20 resits x 0.330h = 40.9h total (34.3h initial + 6.6h resit), 13.6h per teacher; Project setting (fixed): 6.0h; Pastoral: 17 students x 3h = 51.0h; Projects: 4 projects x UG (16h) = 64.0h</t>
        </is>
      </c>
      <c r="H49" s="4" t="inlineStr">
        <is>
          <t>PhD supervision (primary supervisor, co-supervisor &amp; assessor) (3 × 48 + 1 × 8): 3x part-time PhD student × 48h/FTE; 1x assessor (8h each) = 152.0h; Grant Large Language Models for lattice-theoretic reasoning of reactive programs: 20% of 1642h = 328.4h</t>
        </is>
      </c>
      <c r="I49" s="4" t="inlineStr">
        <is>
          <t>Progression Panel: 10% of 1642h = 164.2h; Engagement (email/meetings): 100.0h; Personal development: 75.0h (FTE: 1.00)</t>
        </is>
      </c>
      <c r="J49" s="5" t="inlineStr">
        <is>
          <t>None</t>
        </is>
      </c>
      <c r="K49" s="5" t="inlineStr">
        <is>
          <t>None</t>
        </is>
      </c>
    </row>
    <row r="50">
      <c r="A50" s="2" t="inlineStr">
        <is>
          <t>James Stovold</t>
        </is>
      </c>
      <c r="B50" s="2" t="n">
        <v>1</v>
      </c>
      <c r="C50" s="3" t="n">
        <v>1011.84</v>
      </c>
      <c r="D50" s="3" t="n">
        <v>590.54</v>
      </c>
      <c r="E50" s="3" t="n">
        <v>164.2</v>
      </c>
      <c r="F50" s="3" t="n">
        <v>257.1</v>
      </c>
      <c r="G50" s="4" t="inlineStr">
        <is>
          <t>DEEP (20cr): New lecturer (5x): 9.0h base @ 2.5x + content dev = 45h; Practicals: 3 groups shared by 2 lecturers, 11w - New: 10.0h/week @ 5x + repeats; Standard: 5.0h/week @ 2.5x + repeats (1 grps @ 1.5x); 10w @ 1.5x (weeks 2, 3, 4, 5, 6...); New: 126.5h, Standard: 71.5h; 2 paper(s) set (1 assessment(s)): 15.0h each (3.8h main + 3.8h resit); 130 scripts + 26 resits x 0.330h = 51.5h total (42.9h initial + 8.6h resit), 25.7h per teacher; LLMA (20cr): New lecturer (5x): 9.0h base @ 2.5x + content dev = 45h; Practicals: 1 groups shared by 2 lecturers, 11w - New: 10.0h/week @ 5x + repeats; Standard: 5.0h/week @ 2.5x + repeats (0 grps @ 1.5x); 10w @ 1.5x (weeks 2, 3, 4, 5, 6...); New: 110.0h, Standard: 55.0h; 2 paper(s) set (1 assessment(s)): 15.0h each (3.8h main + 3.8h resit); 100 scripts + 20 resits x 0.330h = 39.6h total (33.0h initial + 6.6h resit), 19.8h per teacher; Project setting (fixed): 6.0h; Pastoral: 25 students x 3h = 75.0h; Projects: 7 projects x UG (16h) = 112.0h</t>
        </is>
      </c>
      <c r="H50" s="4" t="inlineStr">
        <is>
          <t>No research activities recorded</t>
        </is>
      </c>
      <c r="I50" s="4" t="inlineStr">
        <is>
          <t>Academic Admissions Team: 5% of 1642h = 82.1h; Engagement (email/meetings): 100.0h; Personal development: 75.0h (FTE: 1.00)</t>
        </is>
      </c>
      <c r="J50" s="5" t="inlineStr">
        <is>
          <t>Module had 0 students - marking not calculated; Module had 0 students - marking not calculated</t>
        </is>
      </c>
      <c r="K50" s="5" t="inlineStr">
        <is>
          <t>None</t>
        </is>
      </c>
    </row>
    <row r="51">
      <c r="A51" s="2" t="inlineStr">
        <is>
          <t>Radu Calinescu</t>
        </is>
      </c>
      <c r="B51" s="2" t="n">
        <v>1</v>
      </c>
      <c r="C51" s="3" t="n">
        <v>1244.13</v>
      </c>
      <c r="D51" s="3" t="n">
        <v>150.43</v>
      </c>
      <c r="E51" s="3" t="n">
        <v>918.7</v>
      </c>
      <c r="F51" s="3" t="n">
        <v>175</v>
      </c>
      <c r="G51" s="4" t="inlineStr">
        <is>
          <t>GPIG (40cr): Standard (2.5x): 47.5h; Practicals: 1 groups shared by 2 lecturers, 4w - Standard: 5.0h/week @ 2.5x + repeats (0 grps @ 1.5x); 3w @ 1.5x (weeks 4, 6, 8); Total: 20.0h; 6 paper(s) set (3 assessment(s)): 15.0h each (11.2h main + 11.2h resit); 35 scripts + 7 resits x 0.330h = 13.9h total (11.6h initial + 2.3h resit), 6.9h per teacher; Project setting (fixed): 6.0h; Pastoral: 9 students x 3h = 27.0h; Projects: 1 projects x UG (16h) = 16.0h</t>
        </is>
      </c>
      <c r="H51" s="4" t="inlineStr">
        <is>
          <t>PhD supervision (primary supervisor, co-supervisor &amp; assessor) (1 × 80 + 5 × 48 + 3 × 8): 1x full-time PhD student × 80h/FTE; 5x part-time PhD student × 48h/FTE; 3x assessor (8h each) = 344.0h; Grant ARISE: Accelerating ReIntroduction of EcoSystem-Engineering Ant Colonies with Embodied AI: 10% of 1642h = 164.2h; Grant The Centre for Assuring Autonomy: 5% of 1642h = 82.1h; Grant MammoBot: Robotic Posture Assistance for Universal Breast Screening Access: 10% of 1642h = 164.2h</t>
        </is>
      </c>
      <c r="I51" s="4" t="inlineStr">
        <is>
          <t>Engagement (email/meetings): 100.0h; Personal development: 75.0h (FTE: 1.00)</t>
        </is>
      </c>
      <c r="J51" s="5" t="inlineStr">
        <is>
          <t>None</t>
        </is>
      </c>
      <c r="K51" s="5" t="inlineStr">
        <is>
          <t>No administrative roles assigned</t>
        </is>
      </c>
    </row>
    <row r="52">
      <c r="A52" s="2" t="inlineStr">
        <is>
          <t>Dimitar Kazakov</t>
        </is>
      </c>
      <c r="B52" s="2" t="n">
        <v>1</v>
      </c>
      <c r="C52" s="3" t="n">
        <v>1094.5</v>
      </c>
      <c r="D52" s="3" t="n">
        <v>299.3</v>
      </c>
      <c r="E52" s="3" t="n">
        <v>620.2</v>
      </c>
      <c r="F52" s="3" t="n">
        <v>175</v>
      </c>
      <c r="G52" s="4" t="inlineStr">
        <is>
          <t>NLPG (20cr): Standard (2.5x): 22.5h; Practicals: 2 groups shared by 2 lecturers, 11w - Standard: 5.0h/week @ 2.5x + repeats (0 grps @ 1.5x); 10w @ 1.5x (weeks 2, 3, 4, 5, 6...); Total: 55.0h; 2 paper(s) set (1 assessment(s)): 15.0h each (3.8h main + 3.8h resit); 100 scripts + 20 resits x 0.330h = 39.6h total (33.0h initial + 6.6h resit), 19.8h per teacher; Project setting (fixed): 6.0h; Pastoral: 25 students x 3h = 75.0h; Projects: 7 projects x UG (16h) = 112.0h</t>
        </is>
      </c>
      <c r="H52" s="4" t="inlineStr">
        <is>
          <t>PhD supervision (primary supervisor, co-supervisor &amp; assessor) (5 × 80 + 1 × 48 + 1 × 8): 5x full-time PhD student × 80h/FTE; 1x part-time PhD student × 48h/FTE; 1x assessor (8h each) = 456.0h</t>
        </is>
      </c>
      <c r="I52" s="4" t="inlineStr">
        <is>
          <t>Ethics Committee members: 0% of 1642h = 0.0h; Engagement (email/meetings): 100.0h; Personal development: 75.0h (FTE: 1.00)</t>
        </is>
      </c>
      <c r="J52" s="5" t="inlineStr">
        <is>
          <t>Module had 0 students - marking not calculated</t>
        </is>
      </c>
      <c r="K52" s="5" t="inlineStr">
        <is>
          <t>None</t>
        </is>
      </c>
    </row>
    <row r="53">
      <c r="A53" s="2" t="inlineStr">
        <is>
          <t>Antonio Garcia-Dominguez</t>
        </is>
      </c>
      <c r="B53" s="2" t="n">
        <v>1</v>
      </c>
      <c r="C53" s="3" t="n">
        <v>1098.72</v>
      </c>
      <c r="D53" s="3" t="n">
        <v>279.12</v>
      </c>
      <c r="E53" s="3" t="n">
        <v>644.6000000000001</v>
      </c>
      <c r="F53" s="3" t="n">
        <v>175</v>
      </c>
      <c r="G53" s="4" t="inlineStr">
        <is>
          <t>ENG2 (20cr): Standard (2.5x): 15.0h; Practicals: 1 groups shared by 3 lecturers, 11w - Standard: 5.0h/week @ 2.5x + repeats (0 grps @ 1.5x); 10w @ 1.5x (weeks 2, 3, 4, 5, 6...); Total: 55.0h; 2 paper(s) set (1 assessment(s)): 15.0h each (2.5h main + 2.5h resit); 60 scripts + 12 resits x 0.330h = 23.8h total (19.8h initial + 4.0h resit), 7.9h per teacher; ELLA (20cr): Standard (2.5x): 15.0h; Practicals: 2 groups shared by 3 lecturers, 11w - New: 10.0h/week @ 5x + repeats; Standard: 5.0h/week @ 2.5x + repeats (0 grps @ 1.5x); 10w @ 1.5x (weeks 2, 3, 4, 5, 6...); New: 110.0h, Standard: 55.0h; 2 paper(s) set (1 assessment(s)): 15.0h each (2.5h main + 2.5h resit); 100 scripts + 20 resits x 0.330h = 39.6h total (33.0h initial + 6.6h resit), 13.2h per teacher; Project setting (fixed): 6.0h; Pastoral: 12 students x 3h = 36.0h; Projects: 4 projects x UG (16h) = 64.0h</t>
        </is>
      </c>
      <c r="H53" s="4" t="inlineStr">
        <is>
          <t>PhD supervision (primary supervisor, co-supervisor &amp; assessor) (3 × 48 + 1 × 8): 3x part-time PhD student × 48h/FTE; 1x assessor (8h each) = 152.0h; Grant MOSAICO: 10% of 1642h = 164.2h; Grant SCHEME: 10% of 1642h = 164.2h</t>
        </is>
      </c>
      <c r="I53" s="4" t="inlineStr">
        <is>
          <t>Engagement (email/meetings): 100.0h; Personal development: 75.0h (FTE: 1.00)</t>
        </is>
      </c>
      <c r="J53" s="5" t="inlineStr">
        <is>
          <t>Module had 0 students - marking not calculated; Module had 0 students - marking not calculated</t>
        </is>
      </c>
      <c r="K53" s="5" t="inlineStr">
        <is>
          <t>No administrative roles assigned</t>
        </is>
      </c>
    </row>
    <row r="54">
      <c r="A54" s="2" t="inlineStr">
        <is>
          <t>Nick Pears</t>
        </is>
      </c>
      <c r="B54" s="2" t="n">
        <v>1</v>
      </c>
      <c r="C54" s="3" t="n">
        <v>1473.013333333333</v>
      </c>
      <c r="D54" s="3" t="n">
        <v>213.0133333333333</v>
      </c>
      <c r="E54" s="3" t="n">
        <v>428.2</v>
      </c>
      <c r="F54" s="3" t="n">
        <v>831.8000000000001</v>
      </c>
      <c r="G54" s="4" t="inlineStr">
        <is>
          <t>THE1 (20cr): Standard (2.5x): 15.8h; Practicals: 4 groups shared by 3 lecturers, 11w - New: 5.0h/week @ 5x + repeats; Standard: 2.5h/week @ 2.5x + repeats (1 grps @ 1.5x); 10w @ 1.5x (weeks 2, 3, 4, 5, 6...); New: 60.5h, Standard: 33.0h; 2 paper(s) set (1 assessment(s)): 15.0h each (2.5h main + 2.5h resit); 282 scripts + 56 resits x 0.330h = 111.5h total (93.1h initial + 18.5h resit), 37.2h per teacher; Project setting (fixed): 6.0h; Pastoral: 17 students x 3h = 51.0h; Projects: 4 projects x UG (16h) = 64.0h</t>
        </is>
      </c>
      <c r="H54" s="4" t="inlineStr">
        <is>
          <t>PhD supervision (primary supervisor, co-supervisor &amp; assessor) (1 × 80 + 3 × 48 + 5 × 8): 1x full-time PhD student × 80h/FTE; 3x part-time PhD student × 48h/FTE; 5x assessor (8h each) = 264.0h</t>
        </is>
      </c>
      <c r="I54" s="4" t="inlineStr">
        <is>
          <t>Deputy Head (Research): 40% of 1642h = 656.8h; Engagement (email/meetings): 100.0h; Personal development: 75.0h (FTE: 1.00)</t>
        </is>
      </c>
      <c r="J54" s="5" t="inlineStr">
        <is>
          <t>None</t>
        </is>
      </c>
      <c r="K54" s="5" t="inlineStr">
        <is>
          <t>None</t>
        </is>
      </c>
    </row>
    <row r="55">
      <c r="A55" s="2" t="inlineStr">
        <is>
          <t>Colin Paterson</t>
        </is>
      </c>
      <c r="B55" s="2" t="n">
        <v>1</v>
      </c>
      <c r="C55" s="3" t="n">
        <v>983.5599999999999</v>
      </c>
      <c r="D55" s="3" t="n">
        <v>228.8</v>
      </c>
      <c r="E55" s="3" t="n">
        <v>579.76</v>
      </c>
      <c r="F55" s="3" t="n">
        <v>175</v>
      </c>
      <c r="G55" s="4" t="inlineStr">
        <is>
          <t>LPTC (20cr): Standard (2.5x): 25.0h; 2 paper(s) set (1 assessment(s)): 15.0h each (3.8h main + 3.8h resit); 100 scripts + 20 resits x 0.330h = 39.6h total (33.0h initial + 6.6h resit), 19.8h per teacher; Project setting (fixed): 6.0h; Pastoral: 19 students x 3h = 57.0h; Projects: 7 projects x UG (16h) = 112.0h; Also teaches: Designing Safe AI (Safe AI 2) (SAINTS - not included in workload)</t>
        </is>
      </c>
      <c r="H55" s="4" t="inlineStr">
        <is>
          <t>PhD supervision (primary supervisor, co-supervisor &amp; assessor) (2 × 48 + 3 × 8): 2x part-time PhD student × 48h/FTE; 3x assessor (8h each) = 120.0h; Grant KTP with Advai (Industry): 3% of 1642h = 49.3h; Grant KTP with Advai: 5% of 1642h = 82.1h; Grant A STAR TO STEER BY: 5% of 1642h = 82.1h; Grant The Centre for Assuring Autonomy: 5% of 1642h = 82.1h</t>
        </is>
      </c>
      <c r="I55" s="4" t="inlineStr">
        <is>
          <t>Engagement (email/meetings): 100.0h; Personal development: 75.0h (FTE: 1.00)</t>
        </is>
      </c>
      <c r="J55" s="5" t="inlineStr">
        <is>
          <t>Module had 0 students - marking not calculated</t>
        </is>
      </c>
      <c r="K55" s="5" t="inlineStr">
        <is>
          <t>No administrative roles assigned</t>
        </is>
      </c>
    </row>
    <row r="56">
      <c r="A56" s="2" t="inlineStr">
        <is>
          <t>Iain Bate</t>
        </is>
      </c>
      <c r="B56" s="2" t="n">
        <v>1</v>
      </c>
      <c r="C56" s="3" t="n">
        <v>2661.6</v>
      </c>
      <c r="D56" s="3" t="n">
        <v>256</v>
      </c>
      <c r="E56" s="3" t="n">
        <v>588.6</v>
      </c>
      <c r="F56" s="3" t="n">
        <v>1817</v>
      </c>
      <c r="G56" s="4" t="inlineStr">
        <is>
          <t>Minimum administrative teaching load (from workload_parameters.yaml): 30h; Project setting (fixed): 6.0h; Pastoral: 20 students (default) x 3h = 60.0h; Projects: 10 projects x UG (16h) = 160.0h</t>
        </is>
      </c>
      <c r="H56" s="4" t="inlineStr">
        <is>
          <t>PhD supervision (primary supervisor, co-supervisor &amp; assessor) (1 × 80 + 2 × 8): 1x full-time PhD student × 80h/FTE; 2x assessor (8h each) = 96.0h; Grant SCHEME: 20% of 1642h = 328.4h</t>
        </is>
      </c>
      <c r="I56" s="4" t="inlineStr">
        <is>
          <t>Head of Department: 100% of 1642h = 1642.0h; Engagement (email/meetings): 100.0h; Personal development: 75.0h (FTE: 1.00)</t>
        </is>
      </c>
      <c r="J56" s="5" t="inlineStr">
        <is>
          <t>None</t>
        </is>
      </c>
      <c r="K56" s="5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6" t="inlineStr">
        <is>
          <t>Name</t>
        </is>
      </c>
      <c r="B1" s="6" t="inlineStr">
        <is>
          <t>Teaching</t>
        </is>
      </c>
      <c r="C1" s="6" t="inlineStr">
        <is>
          <t>Research</t>
        </is>
      </c>
      <c r="D1" s="6" t="inlineStr">
        <is>
          <t>Admin</t>
        </is>
      </c>
      <c r="E1" s="6" t="inlineStr">
        <is>
          <t>Total</t>
        </is>
      </c>
    </row>
    <row r="2">
      <c r="A2" t="inlineStr">
        <is>
          <t>Dawn H Wood</t>
        </is>
      </c>
      <c r="B2" s="7" t="n">
        <v>496.6833333333333</v>
      </c>
      <c r="C2" s="7" t="n">
        <v>164.2</v>
      </c>
      <c r="D2" s="7" t="n">
        <v>175</v>
      </c>
      <c r="E2" s="7">
        <f>SUM(B2:D2)</f>
        <v/>
      </c>
    </row>
    <row r="3">
      <c r="A3" t="inlineStr">
        <is>
          <t>Paul Cairns</t>
        </is>
      </c>
      <c r="B3" s="7" t="n">
        <v>257.145</v>
      </c>
      <c r="C3" s="7" t="n">
        <v>1012.6</v>
      </c>
      <c r="D3" s="7" t="n">
        <v>339.2</v>
      </c>
      <c r="E3" s="7">
        <f>SUM(B3:D3)</f>
        <v/>
      </c>
    </row>
    <row r="4">
      <c r="A4" t="inlineStr">
        <is>
          <t>Mike O'Dea</t>
        </is>
      </c>
      <c r="B4" s="7" t="n">
        <v>424.575</v>
      </c>
      <c r="C4" s="7" t="n">
        <v>164.2</v>
      </c>
      <c r="D4" s="7" t="n">
        <v>257.1</v>
      </c>
      <c r="E4" s="7">
        <f>SUM(B4:D4)</f>
        <v/>
      </c>
    </row>
    <row r="5">
      <c r="A5" t="inlineStr">
        <is>
          <t>Alena Denisova</t>
        </is>
      </c>
      <c r="B5" s="7" t="n">
        <v>398.415</v>
      </c>
      <c r="C5" s="7" t="n">
        <v>444.2</v>
      </c>
      <c r="D5" s="7" t="n">
        <v>503.4</v>
      </c>
      <c r="E5" s="7">
        <f>SUM(B5:D5)</f>
        <v/>
      </c>
    </row>
    <row r="6">
      <c r="A6" t="inlineStr">
        <is>
          <t>Yuchen Zhao</t>
        </is>
      </c>
      <c r="B6" s="7" t="n">
        <v>376.35</v>
      </c>
      <c r="C6" s="7" t="n">
        <v>180.2</v>
      </c>
      <c r="D6" s="7" t="n">
        <v>257.1</v>
      </c>
      <c r="E6" s="7">
        <f>SUM(B6:D6)</f>
        <v/>
      </c>
    </row>
    <row r="7">
      <c r="A7" t="inlineStr">
        <is>
          <t>Katrina Attwood</t>
        </is>
      </c>
      <c r="B7" s="7" t="n">
        <v>444.56</v>
      </c>
      <c r="C7" s="7" t="n">
        <v>212.2</v>
      </c>
      <c r="D7" s="7" t="n">
        <v>503.4</v>
      </c>
      <c r="E7" s="7">
        <f>SUM(B7:D7)</f>
        <v/>
      </c>
    </row>
    <row r="8">
      <c r="A8" t="inlineStr">
        <is>
          <t>Jacob Rigby</t>
        </is>
      </c>
      <c r="B8" s="7" t="n">
        <v>397.78</v>
      </c>
      <c r="C8" s="7" t="n">
        <v>246.3</v>
      </c>
      <c r="D8" s="7" t="n">
        <v>339.2</v>
      </c>
      <c r="E8" s="7">
        <f>SUM(B8:D8)</f>
        <v/>
      </c>
    </row>
    <row r="9">
      <c r="A9" t="inlineStr">
        <is>
          <t>Siamak Shahandashti</t>
        </is>
      </c>
      <c r="B9" s="7" t="n">
        <v>300.34</v>
      </c>
      <c r="C9" s="7" t="n">
        <v>478.3</v>
      </c>
      <c r="D9" s="7" t="n">
        <v>339.2</v>
      </c>
      <c r="E9" s="7">
        <f>SUM(B9:D9)</f>
        <v/>
      </c>
    </row>
    <row r="10">
      <c r="A10" t="inlineStr">
        <is>
          <t>Stefano Pirandola</t>
        </is>
      </c>
      <c r="B10" s="7" t="n">
        <v>315.815</v>
      </c>
      <c r="C10" s="7" t="n">
        <v>520.4000000000001</v>
      </c>
      <c r="D10" s="7" t="n">
        <v>421.3</v>
      </c>
      <c r="E10" s="7">
        <f>SUM(B10:D10)</f>
        <v/>
      </c>
    </row>
    <row r="11">
      <c r="A11" t="inlineStr">
        <is>
          <t>Pengcheng Liu</t>
        </is>
      </c>
      <c r="B11" s="7" t="n">
        <v>229.3</v>
      </c>
      <c r="C11" s="7" t="n">
        <v>996.5800000000002</v>
      </c>
      <c r="D11" s="7" t="n">
        <v>175</v>
      </c>
      <c r="E11" s="7">
        <f>SUM(B11:D11)</f>
        <v/>
      </c>
    </row>
    <row r="12">
      <c r="A12" t="inlineStr">
        <is>
          <t>Ian Gray</t>
        </is>
      </c>
      <c r="B12" s="7" t="n">
        <v>321.41</v>
      </c>
      <c r="C12" s="7" t="n">
        <v>348.2</v>
      </c>
      <c r="D12" s="7" t="n">
        <v>996</v>
      </c>
      <c r="E12" s="7">
        <f>SUM(B12:D12)</f>
        <v/>
      </c>
    </row>
    <row r="13">
      <c r="A13" t="inlineStr">
        <is>
          <t>Sam Braunstein</t>
        </is>
      </c>
      <c r="B13" s="7" t="n">
        <v>317.3916666666667</v>
      </c>
      <c r="C13" s="7" t="n">
        <v>164.2</v>
      </c>
      <c r="D13" s="7" t="n">
        <v>175</v>
      </c>
      <c r="E13" s="7">
        <f>SUM(B13:D13)</f>
        <v/>
      </c>
    </row>
    <row r="14">
      <c r="A14" t="inlineStr">
        <is>
          <t>Alvaro Miyazawa</t>
        </is>
      </c>
      <c r="B14" s="7" t="n">
        <v>247.2166666666667</v>
      </c>
      <c r="C14" s="7" t="n">
        <v>268.2</v>
      </c>
      <c r="D14" s="7" t="n">
        <v>339.2</v>
      </c>
      <c r="E14" s="7">
        <f>SUM(B14:D14)</f>
        <v/>
      </c>
    </row>
    <row r="15">
      <c r="A15" t="inlineStr">
        <is>
          <t>Felix Ulrich-Oltean</t>
        </is>
      </c>
      <c r="B15" s="7" t="n">
        <v>319.43</v>
      </c>
      <c r="C15" s="7" t="n">
        <v>212.2</v>
      </c>
      <c r="D15" s="7" t="n">
        <v>175</v>
      </c>
      <c r="E15" s="7">
        <f>SUM(B15:D15)</f>
        <v/>
      </c>
    </row>
    <row r="16">
      <c r="A16" t="inlineStr">
        <is>
          <t>James Walker</t>
        </is>
      </c>
      <c r="B16" s="7" t="n">
        <v>314.04</v>
      </c>
      <c r="C16" s="7" t="n">
        <v>1000.8</v>
      </c>
      <c r="D16" s="7" t="n">
        <v>175</v>
      </c>
      <c r="E16" s="7">
        <f>SUM(B16:D16)</f>
        <v/>
      </c>
    </row>
    <row r="17">
      <c r="A17" t="inlineStr">
        <is>
          <t>Kostas Barmpis</t>
        </is>
      </c>
      <c r="B17" s="7" t="n">
        <v>402.5</v>
      </c>
      <c r="C17" s="7" t="n">
        <v>548.6</v>
      </c>
      <c r="D17" s="7" t="n">
        <v>175</v>
      </c>
      <c r="E17" s="7">
        <f>SUM(B17:D17)</f>
        <v/>
      </c>
    </row>
    <row r="18">
      <c r="A18" t="inlineStr">
        <is>
          <t>Detlef Plump</t>
        </is>
      </c>
      <c r="B18" s="7" t="n">
        <v>325.16</v>
      </c>
      <c r="C18" s="7" t="n">
        <v>260.2</v>
      </c>
      <c r="D18" s="7" t="n">
        <v>503.4</v>
      </c>
      <c r="E18" s="7">
        <f>SUM(B18:D18)</f>
        <v/>
      </c>
    </row>
    <row r="19">
      <c r="A19" t="inlineStr">
        <is>
          <t>Steven Wright</t>
        </is>
      </c>
      <c r="B19" s="7" t="n">
        <v>227.21</v>
      </c>
      <c r="C19" s="7" t="n">
        <v>452.2</v>
      </c>
      <c r="D19" s="7" t="n">
        <v>175</v>
      </c>
      <c r="E19" s="7">
        <f>SUM(B19:D19)</f>
        <v/>
      </c>
    </row>
    <row r="20">
      <c r="A20" t="inlineStr">
        <is>
          <t>Soumya Banerjee</t>
        </is>
      </c>
      <c r="B20" s="7" t="n">
        <v>516.8399999999999</v>
      </c>
      <c r="C20" s="7" t="n">
        <v>164.2</v>
      </c>
      <c r="D20" s="7" t="n">
        <v>175</v>
      </c>
      <c r="E20" s="7">
        <f>SUM(B20:D20)</f>
        <v/>
      </c>
    </row>
    <row r="21">
      <c r="A21" t="inlineStr">
        <is>
          <t>Tommy Yuan</t>
        </is>
      </c>
      <c r="B21" s="7" t="n">
        <v>551.1800000000001</v>
      </c>
      <c r="C21" s="7" t="n">
        <v>364.2</v>
      </c>
      <c r="D21" s="7" t="n">
        <v>503.4</v>
      </c>
      <c r="E21" s="7">
        <f>SUM(B21:D21)</f>
        <v/>
      </c>
    </row>
    <row r="22">
      <c r="A22" t="inlineStr">
        <is>
          <t>Fang Yan</t>
        </is>
      </c>
      <c r="B22" s="7" t="n">
        <v>324.8133333333333</v>
      </c>
      <c r="C22" s="7" t="n">
        <v>164.2</v>
      </c>
      <c r="D22" s="7" t="n">
        <v>175</v>
      </c>
      <c r="E22" s="7">
        <f>SUM(B22:D22)</f>
        <v/>
      </c>
    </row>
    <row r="23">
      <c r="A23" t="inlineStr">
        <is>
          <t>Claudio Guarnera</t>
        </is>
      </c>
      <c r="B23" s="7" t="n">
        <v>217.04</v>
      </c>
      <c r="C23" s="7" t="n">
        <v>276.2</v>
      </c>
      <c r="D23" s="7" t="n">
        <v>175</v>
      </c>
      <c r="E23" s="7">
        <f>SUM(B23:D23)</f>
        <v/>
      </c>
    </row>
    <row r="24">
      <c r="A24" t="inlineStr">
        <is>
          <t>Joe Cutting</t>
        </is>
      </c>
      <c r="B24" s="7" t="n">
        <v>361.035</v>
      </c>
      <c r="C24" s="7" t="n">
        <v>228.2</v>
      </c>
      <c r="D24" s="7" t="n">
        <v>175</v>
      </c>
      <c r="E24" s="7">
        <f>SUM(B24:D24)</f>
        <v/>
      </c>
    </row>
    <row r="25">
      <c r="A25" t="inlineStr">
        <is>
          <t>Peter Nightingale</t>
        </is>
      </c>
      <c r="B25" s="7" t="n">
        <v>446.03</v>
      </c>
      <c r="C25" s="7" t="n">
        <v>300.2</v>
      </c>
      <c r="D25" s="7" t="n">
        <v>339.2</v>
      </c>
      <c r="E25" s="7">
        <f>SUM(B25:D25)</f>
        <v/>
      </c>
    </row>
    <row r="26">
      <c r="A26" t="inlineStr">
        <is>
          <t>Adrian Bors</t>
        </is>
      </c>
      <c r="B26" s="7" t="n">
        <v>347.3</v>
      </c>
      <c r="C26" s="7" t="n">
        <v>412.2</v>
      </c>
      <c r="D26" s="7" t="n">
        <v>257.1</v>
      </c>
      <c r="E26" s="7">
        <f>SUM(B26:D26)</f>
        <v/>
      </c>
    </row>
    <row r="27">
      <c r="A27" t="inlineStr">
        <is>
          <t>Poonam Yadav</t>
        </is>
      </c>
      <c r="B27" s="7" t="n">
        <v>254.12</v>
      </c>
      <c r="C27" s="7" t="n">
        <v>1112.8</v>
      </c>
      <c r="D27" s="7" t="n">
        <v>339.2</v>
      </c>
      <c r="E27" s="7">
        <f>SUM(B27:D27)</f>
        <v/>
      </c>
    </row>
    <row r="28">
      <c r="A28" t="inlineStr">
        <is>
          <t>Yan Jia</t>
        </is>
      </c>
      <c r="B28" s="7" t="n">
        <v>304.67</v>
      </c>
      <c r="C28" s="7" t="n">
        <v>638.7</v>
      </c>
      <c r="D28" s="7" t="n">
        <v>175</v>
      </c>
      <c r="E28" s="7">
        <f>SUM(B28:D28)</f>
        <v/>
      </c>
    </row>
    <row r="29">
      <c r="A29" t="inlineStr">
        <is>
          <t>Vasileios Vasilakis</t>
        </is>
      </c>
      <c r="B29" s="7" t="n">
        <v>272.795</v>
      </c>
      <c r="C29" s="7" t="n">
        <v>356.2</v>
      </c>
      <c r="D29" s="7" t="n">
        <v>339.2</v>
      </c>
      <c r="E29" s="7">
        <f>SUM(B29:D29)</f>
        <v/>
      </c>
    </row>
    <row r="30">
      <c r="A30" t="inlineStr">
        <is>
          <t>Kofi Appiah</t>
        </is>
      </c>
      <c r="B30" s="7" t="n">
        <v>390.6833333333333</v>
      </c>
      <c r="C30" s="7" t="n">
        <v>356.2</v>
      </c>
      <c r="D30" s="7" t="n">
        <v>421.3</v>
      </c>
      <c r="E30" s="7">
        <f>SUM(B30:D30)</f>
        <v/>
      </c>
    </row>
    <row r="31">
      <c r="A31" t="inlineStr">
        <is>
          <t>Simon Foster</t>
        </is>
      </c>
      <c r="B31" s="7" t="n">
        <v>320.43</v>
      </c>
      <c r="C31" s="7" t="n">
        <v>276.2</v>
      </c>
      <c r="D31" s="7" t="n">
        <v>175</v>
      </c>
      <c r="E31" s="7">
        <f>SUM(B31:D31)</f>
        <v/>
      </c>
    </row>
    <row r="32">
      <c r="A32" t="inlineStr">
        <is>
          <t>Steven Xiaotian Dai</t>
        </is>
      </c>
      <c r="B32" s="7" t="n">
        <v>325.62</v>
      </c>
      <c r="C32" s="7" t="n">
        <v>350.3</v>
      </c>
      <c r="D32" s="7" t="n">
        <v>503.4</v>
      </c>
      <c r="E32" s="7">
        <f>SUM(B32:D32)</f>
        <v/>
      </c>
    </row>
    <row r="33">
      <c r="A33" t="inlineStr">
        <is>
          <t>Roberto Metere</t>
        </is>
      </c>
      <c r="B33" s="7" t="n">
        <v>513.7416666666667</v>
      </c>
      <c r="C33" s="7" t="n">
        <v>268.2</v>
      </c>
      <c r="D33" s="7" t="n">
        <v>175</v>
      </c>
      <c r="E33" s="7">
        <f>SUM(B33:D33)</f>
        <v/>
      </c>
    </row>
    <row r="34">
      <c r="A34" t="inlineStr">
        <is>
          <t>Xinwei Fang</t>
        </is>
      </c>
      <c r="B34" s="7" t="n">
        <v>424.505</v>
      </c>
      <c r="C34" s="7" t="n">
        <v>244.2</v>
      </c>
      <c r="D34" s="7" t="n">
        <v>257.1</v>
      </c>
      <c r="E34" s="7">
        <f>SUM(B34:D34)</f>
        <v/>
      </c>
    </row>
    <row r="35">
      <c r="A35" t="inlineStr">
        <is>
          <t>Claire Ingram</t>
        </is>
      </c>
      <c r="B35" s="7" t="n">
        <v>221.885</v>
      </c>
      <c r="C35" s="7" t="n">
        <v>164.2</v>
      </c>
      <c r="D35" s="7" t="n">
        <v>257.1</v>
      </c>
      <c r="E35" s="7">
        <f>SUM(B35:D35)</f>
        <v/>
      </c>
    </row>
    <row r="36">
      <c r="A36" t="inlineStr">
        <is>
          <t>Jo Iacovides</t>
        </is>
      </c>
      <c r="B36" s="7" t="n">
        <v>350.355</v>
      </c>
      <c r="C36" s="7" t="n">
        <v>348.2</v>
      </c>
      <c r="D36" s="7" t="n">
        <v>339.2</v>
      </c>
      <c r="E36" s="7">
        <f>SUM(B36:D36)</f>
        <v/>
      </c>
    </row>
    <row r="37">
      <c r="A37" t="inlineStr">
        <is>
          <t>Jen Beeston</t>
        </is>
      </c>
      <c r="B37" s="7" t="n">
        <v>369.8</v>
      </c>
      <c r="C37" s="7" t="n">
        <v>332.2</v>
      </c>
      <c r="D37" s="7" t="n">
        <v>175</v>
      </c>
      <c r="E37" s="7">
        <f>SUM(B37:D37)</f>
        <v/>
      </c>
    </row>
    <row r="38">
      <c r="A38" t="inlineStr">
        <is>
          <t>Rob Alexander</t>
        </is>
      </c>
      <c r="B38" s="7" t="n">
        <v>209.885</v>
      </c>
      <c r="C38" s="7" t="n">
        <v>398.3</v>
      </c>
      <c r="D38" s="7" t="n">
        <v>175</v>
      </c>
      <c r="E38" s="7">
        <f>SUM(B38:D38)</f>
        <v/>
      </c>
    </row>
    <row r="39">
      <c r="A39" t="inlineStr">
        <is>
          <t>Mike Freeman</t>
        </is>
      </c>
      <c r="B39" s="7" t="n">
        <v>549.1433333333333</v>
      </c>
      <c r="C39" s="7" t="n">
        <v>164.2</v>
      </c>
      <c r="D39" s="7" t="n">
        <v>257.1</v>
      </c>
      <c r="E39" s="7">
        <f>SUM(B39:D39)</f>
        <v/>
      </c>
    </row>
    <row r="40">
      <c r="A40" t="inlineStr">
        <is>
          <t>Andrew Pomfret</t>
        </is>
      </c>
      <c r="B40" s="7" t="n">
        <v>528.1433333333333</v>
      </c>
      <c r="C40" s="7" t="n">
        <v>164.2</v>
      </c>
      <c r="D40" s="7" t="n">
        <v>257.1</v>
      </c>
      <c r="E40" s="7">
        <f>SUM(B40:D40)</f>
        <v/>
      </c>
    </row>
    <row r="41">
      <c r="A41" t="inlineStr">
        <is>
          <t>Frank Soboczenski</t>
        </is>
      </c>
      <c r="B41" s="7" t="n">
        <v>332.3</v>
      </c>
      <c r="C41" s="7" t="n">
        <v>1794.42</v>
      </c>
      <c r="D41" s="7" t="n">
        <v>257.1</v>
      </c>
      <c r="E41" s="7">
        <f>SUM(B41:D41)</f>
        <v/>
      </c>
    </row>
    <row r="42">
      <c r="A42" t="inlineStr">
        <is>
          <t>Carlo Ottaviani</t>
        </is>
      </c>
      <c r="B42" s="7" t="n">
        <v>332.8816666666667</v>
      </c>
      <c r="C42" s="7" t="n">
        <v>268.2</v>
      </c>
      <c r="D42" s="7" t="n">
        <v>339.2</v>
      </c>
      <c r="E42" s="7">
        <f>SUM(B42:D42)</f>
        <v/>
      </c>
    </row>
    <row r="43">
      <c r="A43" t="inlineStr">
        <is>
          <t>William Smith</t>
        </is>
      </c>
      <c r="B43" s="7" t="n">
        <v>347.41</v>
      </c>
      <c r="C43" s="7" t="n">
        <v>676.2</v>
      </c>
      <c r="D43" s="7" t="n">
        <v>298.15</v>
      </c>
      <c r="E43" s="7">
        <f>SUM(B43:D43)</f>
        <v/>
      </c>
    </row>
    <row r="44">
      <c r="A44" t="inlineStr">
        <is>
          <t>Robbert Jongeling</t>
        </is>
      </c>
      <c r="B44" s="7" t="n">
        <v>415.28</v>
      </c>
      <c r="C44" s="7" t="n">
        <v>164.2</v>
      </c>
      <c r="D44" s="7" t="n">
        <v>175</v>
      </c>
      <c r="E44" s="7">
        <f>SUM(B44:D44)</f>
        <v/>
      </c>
    </row>
    <row r="45">
      <c r="A45" t="inlineStr">
        <is>
          <t>Dimitris Kolovos</t>
        </is>
      </c>
      <c r="B45" s="7" t="n">
        <v>309.92</v>
      </c>
      <c r="C45" s="7" t="n">
        <v>1114.9</v>
      </c>
      <c r="D45" s="7" t="n">
        <v>175</v>
      </c>
      <c r="E45" s="7">
        <f>SUM(B45:D45)</f>
        <v/>
      </c>
    </row>
    <row r="46">
      <c r="A46" t="inlineStr">
        <is>
          <t>Pourya Shamsolmoali</t>
        </is>
      </c>
      <c r="B46" s="7" t="n">
        <v>396.115</v>
      </c>
      <c r="C46" s="7" t="n">
        <v>228.2</v>
      </c>
      <c r="D46" s="7" t="n">
        <v>298.15</v>
      </c>
      <c r="E46" s="7">
        <f>SUM(B46:D46)</f>
        <v/>
      </c>
    </row>
    <row r="47">
      <c r="A47" t="inlineStr">
        <is>
          <t>Christopher Crispin-Bailey</t>
        </is>
      </c>
      <c r="B47" s="7" t="n">
        <v>655.9866666666667</v>
      </c>
      <c r="C47" s="7" t="n">
        <v>164.2</v>
      </c>
      <c r="D47" s="7" t="n">
        <v>462.35</v>
      </c>
      <c r="E47" s="7">
        <f>SUM(B47:D47)</f>
        <v/>
      </c>
    </row>
    <row r="48">
      <c r="A48" t="inlineStr">
        <is>
          <t>Da Li</t>
        </is>
      </c>
      <c r="B48" s="7" t="n">
        <v>410.8</v>
      </c>
      <c r="C48" s="7" t="n">
        <v>164.2</v>
      </c>
      <c r="D48" s="7" t="n">
        <v>175</v>
      </c>
      <c r="E48" s="7">
        <f>SUM(B48:D48)</f>
        <v/>
      </c>
    </row>
    <row r="49">
      <c r="A49" t="inlineStr">
        <is>
          <t>Pedro Ribeiro</t>
        </is>
      </c>
      <c r="B49" s="7" t="n">
        <v>345.93</v>
      </c>
      <c r="C49" s="7" t="n">
        <v>644.6</v>
      </c>
      <c r="D49" s="7" t="n">
        <v>339.2</v>
      </c>
      <c r="E49" s="7">
        <f>SUM(B49:D49)</f>
        <v/>
      </c>
    </row>
    <row r="50">
      <c r="A50" t="inlineStr">
        <is>
          <t>James Stovold</t>
        </is>
      </c>
      <c r="B50" s="7" t="n">
        <v>590.54</v>
      </c>
      <c r="C50" s="7" t="n">
        <v>164.2</v>
      </c>
      <c r="D50" s="7" t="n">
        <v>257.1</v>
      </c>
      <c r="E50" s="7">
        <f>SUM(B50:D50)</f>
        <v/>
      </c>
    </row>
    <row r="51">
      <c r="A51" t="inlineStr">
        <is>
          <t>Radu Calinescu</t>
        </is>
      </c>
      <c r="B51" s="7" t="n">
        <v>150.43</v>
      </c>
      <c r="C51" s="7" t="n">
        <v>918.7</v>
      </c>
      <c r="D51" s="7" t="n">
        <v>175</v>
      </c>
      <c r="E51" s="7">
        <f>SUM(B51:D51)</f>
        <v/>
      </c>
    </row>
    <row r="52">
      <c r="A52" t="inlineStr">
        <is>
          <t>Dimitar Kazakov</t>
        </is>
      </c>
      <c r="B52" s="7" t="n">
        <v>299.3</v>
      </c>
      <c r="C52" s="7" t="n">
        <v>620.2</v>
      </c>
      <c r="D52" s="7" t="n">
        <v>175</v>
      </c>
      <c r="E52" s="7">
        <f>SUM(B52:D52)</f>
        <v/>
      </c>
    </row>
    <row r="53">
      <c r="A53" t="inlineStr">
        <is>
          <t>Antonio Garcia-Dominguez</t>
        </is>
      </c>
      <c r="B53" s="7" t="n">
        <v>279.12</v>
      </c>
      <c r="C53" s="7" t="n">
        <v>644.6000000000001</v>
      </c>
      <c r="D53" s="7" t="n">
        <v>175</v>
      </c>
      <c r="E53" s="7">
        <f>SUM(B53:D53)</f>
        <v/>
      </c>
    </row>
    <row r="54">
      <c r="A54" t="inlineStr">
        <is>
          <t>Nick Pears</t>
        </is>
      </c>
      <c r="B54" s="7" t="n">
        <v>213.0133333333333</v>
      </c>
      <c r="C54" s="7" t="n">
        <v>428.2</v>
      </c>
      <c r="D54" s="7" t="n">
        <v>831.8000000000001</v>
      </c>
      <c r="E54" s="7">
        <f>SUM(B54:D54)</f>
        <v/>
      </c>
    </row>
    <row r="55">
      <c r="A55" t="inlineStr">
        <is>
          <t>Colin Paterson</t>
        </is>
      </c>
      <c r="B55" s="7" t="n">
        <v>228.8</v>
      </c>
      <c r="C55" s="7" t="n">
        <v>579.76</v>
      </c>
      <c r="D55" s="7" t="n">
        <v>175</v>
      </c>
      <c r="E55" s="7">
        <f>SUM(B55:D55)</f>
        <v/>
      </c>
    </row>
    <row r="56">
      <c r="A56" t="inlineStr">
        <is>
          <t>Iain Bate</t>
        </is>
      </c>
      <c r="B56" s="7" t="n">
        <v>256</v>
      </c>
      <c r="C56" s="7" t="n">
        <v>588.6</v>
      </c>
      <c r="D56" s="7" t="n">
        <v>1817</v>
      </c>
      <c r="E56" s="7">
        <f>SUM(B56:D56)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2026-08-07T07:09:32Z</dcterms:created>
  <dcterms:modified xmlns:dcterms="http://purl.org/dc/terms/" xmlns:xsi="http://www.w3.org/2001/XMLSchema-instance" xsi:type="dcterms:W3CDTF">2026-08-07T07:09:32Z</dcterms:modified>
</cp:coreProperties>
</file>