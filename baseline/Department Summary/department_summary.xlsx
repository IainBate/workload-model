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Summary" sheetId="1" state="visible" r:id="rId1"/>
    <sheet xmlns:r="http://schemas.openxmlformats.org/officeDocument/2006/relationships" name="Workload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2E7D32"/>
    </font>
    <font>
      <color rgb="00C62828"/>
    </font>
    <font>
      <b val="1"/>
      <color rgb="00C62828"/>
    </font>
    <font>
      <color rgb="00EF6C00"/>
    </font>
  </fonts>
  <fills count="5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EE"/>
        <bgColor rgb="00FFEBEE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164" fontId="3" fillId="0" borderId="0" pivotButton="0" quotePrefix="0" xfId="0"/>
    <xf numFmtId="0" fontId="0" fillId="3" borderId="0" pivotButton="0" quotePrefix="0" xfId="0"/>
    <xf numFmtId="164" fontId="4" fillId="0" borderId="0" pivotButton="0" quotePrefix="0" xfId="0"/>
    <xf numFmtId="164" fontId="5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Workload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'Department 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Summary'!$A$2:$A$56</f>
            </numRef>
          </cat>
          <val>
            <numRef>
              <f>'Department Summary'!$D$2:$D$56</f>
            </numRef>
          </val>
        </ser>
        <ser>
          <idx val="1"/>
          <order val="1"/>
          <tx>
            <strRef>
              <f>'Department Summary'!H1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Summary'!$A$2:$A$56</f>
            </numRef>
          </cat>
          <val>
            <numRef>
              <f>'Department Summary'!$H$2:$H$56</f>
            </numRef>
          </val>
        </ser>
        <ser>
          <idx val="2"/>
          <order val="2"/>
          <tx>
            <strRef>
              <f>'Department Summary'!L1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Summary'!$A$2:$A$56</f>
            </numRef>
          </cat>
          <val>
            <numRef>
              <f>'Department Summary'!$L$2:$L$56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400000" cy="90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4" customWidth="1" min="8" max="8"/>
    <col width="14" customWidth="1" min="9" max="9"/>
    <col width="10" customWidth="1" min="10" max="10"/>
    <col width="12" customWidth="1" min="11" max="11"/>
    <col width="14" customWidth="1" min="12" max="12"/>
    <col width="14" customWidth="1" min="13" max="13"/>
    <col width="1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Staff Name</t>
        </is>
      </c>
      <c r="B1" s="1" t="inlineStr">
        <is>
          <t>FTE</t>
        </is>
      </c>
      <c r="C1" s="1" t="inlineStr">
        <is>
          <t>Nominal Hrs</t>
        </is>
      </c>
      <c r="D1" s="1" t="inlineStr">
        <is>
          <t>Teaching Hrs</t>
        </is>
      </c>
      <c r="E1" s="1" t="inlineStr">
        <is>
          <t>Teaching Exp</t>
        </is>
      </c>
      <c r="F1" s="1" t="inlineStr">
        <is>
          <t>Teaching %</t>
        </is>
      </c>
      <c r="G1" s="1" t="inlineStr">
        <is>
          <t>Teaching Status</t>
        </is>
      </c>
      <c r="H1" s="1" t="inlineStr">
        <is>
          <t>Research Hrs</t>
        </is>
      </c>
      <c r="I1" s="1" t="inlineStr">
        <is>
          <t>Research Exp</t>
        </is>
      </c>
      <c r="J1" s="1" t="inlineStr">
        <is>
          <t>Research %</t>
        </is>
      </c>
      <c r="K1" s="1" t="inlineStr">
        <is>
          <t>Research Status</t>
        </is>
      </c>
      <c r="L1" s="1" t="inlineStr">
        <is>
          <t>Admin Hrs</t>
        </is>
      </c>
      <c r="M1" s="1" t="inlineStr">
        <is>
          <t>Admin Exp</t>
        </is>
      </c>
      <c r="N1" s="1" t="inlineStr">
        <is>
          <t>Admin %</t>
        </is>
      </c>
      <c r="O1" s="1" t="inlineStr">
        <is>
          <t>Admin Status</t>
        </is>
      </c>
      <c r="P1" s="1" t="inlineStr">
        <is>
          <t>Total Hrs</t>
        </is>
      </c>
      <c r="Q1" s="1" t="inlineStr">
        <is>
          <t>Total % of Target</t>
        </is>
      </c>
    </row>
    <row r="2">
      <c r="A2" t="inlineStr">
        <is>
          <t>Adrian Bors</t>
        </is>
      </c>
      <c r="B2" s="2" t="n">
        <v>1</v>
      </c>
      <c r="C2" s="3" t="n">
        <v>1642</v>
      </c>
      <c r="D2" s="3" t="n">
        <v>677.3</v>
      </c>
      <c r="E2" s="3" t="n">
        <v>656.8000000000001</v>
      </c>
      <c r="F2" s="4">
        <f>D2/$C2*100</f>
        <v/>
      </c>
      <c r="G2" t="inlineStr">
        <is>
          <t>OK</t>
        </is>
      </c>
      <c r="H2" s="3" t="n">
        <v>412.2</v>
      </c>
      <c r="I2" s="3" t="n">
        <v>656.8000000000001</v>
      </c>
      <c r="J2" s="4">
        <f>H2/$C2*100</f>
        <v/>
      </c>
      <c r="K2" t="inlineStr">
        <is>
          <t>-37.2%</t>
        </is>
      </c>
      <c r="L2" s="3" t="n">
        <v>257.1</v>
      </c>
      <c r="M2" s="3" t="n">
        <v>328.4</v>
      </c>
      <c r="N2" s="4">
        <f>L2/$C2*100</f>
        <v/>
      </c>
      <c r="O2" t="inlineStr">
        <is>
          <t>-21.7%</t>
        </is>
      </c>
      <c r="P2" s="5" t="n">
        <v>1346.6</v>
      </c>
      <c r="Q2" s="4">
        <f>P2/$C2*100</f>
        <v/>
      </c>
    </row>
    <row r="3">
      <c r="A3" t="inlineStr">
        <is>
          <t>Alena Denisova</t>
        </is>
      </c>
      <c r="B3" s="2" t="n">
        <v>1</v>
      </c>
      <c r="C3" s="3" t="n">
        <v>1642</v>
      </c>
      <c r="D3" s="6" t="n">
        <v>1058.415</v>
      </c>
      <c r="E3" s="3" t="n">
        <v>656.8000000000001</v>
      </c>
      <c r="F3" s="4">
        <f>D3/$C3*100</f>
        <v/>
      </c>
      <c r="G3" s="7" t="inlineStr">
        <is>
          <t>+61.1%</t>
        </is>
      </c>
      <c r="H3" s="3" t="n">
        <v>444.2</v>
      </c>
      <c r="I3" s="3" t="n">
        <v>656.8000000000001</v>
      </c>
      <c r="J3" s="4">
        <f>H3/$C3*100</f>
        <v/>
      </c>
      <c r="K3" t="inlineStr">
        <is>
          <t>-32.4%</t>
        </is>
      </c>
      <c r="L3" s="6" t="n">
        <v>503.4</v>
      </c>
      <c r="M3" s="3" t="n">
        <v>328.4</v>
      </c>
      <c r="N3" s="4">
        <f>L3/$C3*100</f>
        <v/>
      </c>
      <c r="O3" s="7" t="inlineStr">
        <is>
          <t>+53.3%</t>
        </is>
      </c>
      <c r="P3" s="8" t="n">
        <v>2006.015</v>
      </c>
      <c r="Q3" s="4">
        <f>P3/$C3*100</f>
        <v/>
      </c>
    </row>
    <row r="4">
      <c r="A4" t="inlineStr">
        <is>
          <t>Alvaro Miyazawa</t>
        </is>
      </c>
      <c r="B4" s="2" t="n">
        <v>1</v>
      </c>
      <c r="C4" s="3" t="n">
        <v>1642</v>
      </c>
      <c r="D4" s="9" t="n">
        <v>595.55</v>
      </c>
      <c r="E4" s="3" t="n">
        <v>656.8000000000001</v>
      </c>
      <c r="F4" s="4">
        <f>D4/$C4*100</f>
        <v/>
      </c>
      <c r="G4" s="10" t="inlineStr">
        <is>
          <t>-9.3%</t>
        </is>
      </c>
      <c r="H4" s="3" t="n">
        <v>268.2</v>
      </c>
      <c r="I4" s="3" t="n">
        <v>656.8000000000001</v>
      </c>
      <c r="J4" s="4">
        <f>H4/$C4*100</f>
        <v/>
      </c>
      <c r="K4" t="inlineStr">
        <is>
          <t>-59.2%</t>
        </is>
      </c>
      <c r="L4" s="3" t="n">
        <v>339.2</v>
      </c>
      <c r="M4" s="3" t="n">
        <v>328.4</v>
      </c>
      <c r="N4" s="4">
        <f>L4/$C4*100</f>
        <v/>
      </c>
      <c r="O4" t="inlineStr">
        <is>
          <t>OK</t>
        </is>
      </c>
      <c r="P4" s="5" t="n">
        <v>1202.95</v>
      </c>
      <c r="Q4" s="4">
        <f>P4/$C4*100</f>
        <v/>
      </c>
    </row>
    <row r="5">
      <c r="A5" t="inlineStr">
        <is>
          <t>Andrew Pomfret</t>
        </is>
      </c>
      <c r="B5" s="2" t="n">
        <v>1</v>
      </c>
      <c r="C5" s="3" t="n">
        <v>1642</v>
      </c>
      <c r="D5" s="6" t="n">
        <v>836.1433333333334</v>
      </c>
      <c r="E5" s="3" t="n">
        <v>656.8000000000001</v>
      </c>
      <c r="F5" s="4">
        <f>D5/$C5*100</f>
        <v/>
      </c>
      <c r="G5" s="7" t="inlineStr">
        <is>
          <t>+27.3%</t>
        </is>
      </c>
      <c r="H5" s="3" t="n">
        <v>164.2</v>
      </c>
      <c r="I5" s="3" t="n">
        <v>656.8000000000001</v>
      </c>
      <c r="J5" s="4">
        <f>H5/$C5*100</f>
        <v/>
      </c>
      <c r="K5" t="inlineStr">
        <is>
          <t>-75.0%</t>
        </is>
      </c>
      <c r="L5" s="3" t="n">
        <v>257.1</v>
      </c>
      <c r="M5" s="3" t="n">
        <v>328.4</v>
      </c>
      <c r="N5" s="4">
        <f>L5/$C5*100</f>
        <v/>
      </c>
      <c r="O5" t="inlineStr">
        <is>
          <t>-21.7%</t>
        </is>
      </c>
      <c r="P5" s="5" t="n">
        <v>1257.443333333334</v>
      </c>
      <c r="Q5" s="4">
        <f>P5/$C5*100</f>
        <v/>
      </c>
    </row>
    <row r="6">
      <c r="A6" t="inlineStr">
        <is>
          <t>Antonio Garcia-Dominguez</t>
        </is>
      </c>
      <c r="B6" s="2" t="n">
        <v>1</v>
      </c>
      <c r="C6" s="3" t="n">
        <v>1642</v>
      </c>
      <c r="D6" s="6" t="n">
        <v>975.7866666666666</v>
      </c>
      <c r="E6" s="3" t="n">
        <v>656.8000000000001</v>
      </c>
      <c r="F6" s="4">
        <f>D6/$C6*100</f>
        <v/>
      </c>
      <c r="G6" s="7" t="inlineStr">
        <is>
          <t>+48.6%</t>
        </is>
      </c>
      <c r="H6" s="3" t="n">
        <v>644.6000000000001</v>
      </c>
      <c r="I6" s="3" t="n">
        <v>656.8000000000001</v>
      </c>
      <c r="J6" s="4">
        <f>H6/$C6*100</f>
        <v/>
      </c>
      <c r="K6" t="inlineStr">
        <is>
          <t>OK</t>
        </is>
      </c>
      <c r="L6" s="3" t="n">
        <v>175</v>
      </c>
      <c r="M6" s="3" t="n">
        <v>328.4</v>
      </c>
      <c r="N6" s="4">
        <f>L6/$C6*100</f>
        <v/>
      </c>
      <c r="O6" t="inlineStr">
        <is>
          <t>-46.7%</t>
        </is>
      </c>
      <c r="P6" s="3" t="n">
        <v>1795.386666666667</v>
      </c>
      <c r="Q6" s="4">
        <f>P6/$C6*100</f>
        <v/>
      </c>
    </row>
    <row r="7">
      <c r="A7" t="inlineStr">
        <is>
          <t>Carlo Ottaviani</t>
        </is>
      </c>
      <c r="B7" s="2" t="n">
        <v>1</v>
      </c>
      <c r="C7" s="3" t="n">
        <v>1642</v>
      </c>
      <c r="D7" s="3" t="n">
        <v>662.8816666666667</v>
      </c>
      <c r="E7" s="3" t="n">
        <v>656.8000000000001</v>
      </c>
      <c r="F7" s="4">
        <f>D7/$C7*100</f>
        <v/>
      </c>
      <c r="G7" t="inlineStr">
        <is>
          <t>OK</t>
        </is>
      </c>
      <c r="H7" s="3" t="n">
        <v>268.2</v>
      </c>
      <c r="I7" s="3" t="n">
        <v>656.8000000000001</v>
      </c>
      <c r="J7" s="4">
        <f>H7/$C7*100</f>
        <v/>
      </c>
      <c r="K7" t="inlineStr">
        <is>
          <t>-59.2%</t>
        </is>
      </c>
      <c r="L7" s="3" t="n">
        <v>339.2</v>
      </c>
      <c r="M7" s="3" t="n">
        <v>328.4</v>
      </c>
      <c r="N7" s="4">
        <f>L7/$C7*100</f>
        <v/>
      </c>
      <c r="O7" t="inlineStr">
        <is>
          <t>OK</t>
        </is>
      </c>
      <c r="P7" s="5" t="n">
        <v>1270.281666666667</v>
      </c>
      <c r="Q7" s="4">
        <f>P7/$C7*100</f>
        <v/>
      </c>
    </row>
    <row r="8">
      <c r="A8" t="inlineStr">
        <is>
          <t>Christopher Crispin-Bailey</t>
        </is>
      </c>
      <c r="B8" s="2" t="n">
        <v>1</v>
      </c>
      <c r="C8" s="3" t="n">
        <v>1642</v>
      </c>
      <c r="D8" s="3" t="n">
        <v>532.6533333333334</v>
      </c>
      <c r="E8" s="3" t="n">
        <v>656.8000000000001</v>
      </c>
      <c r="F8" s="4">
        <f>D8/$C8*100</f>
        <v/>
      </c>
      <c r="G8" t="inlineStr">
        <is>
          <t>-18.9%</t>
        </is>
      </c>
      <c r="H8" s="3" t="n">
        <v>164.2</v>
      </c>
      <c r="I8" s="3" t="n">
        <v>656.8000000000001</v>
      </c>
      <c r="J8" s="4">
        <f>H8/$C8*100</f>
        <v/>
      </c>
      <c r="K8" t="inlineStr">
        <is>
          <t>-75.0%</t>
        </is>
      </c>
      <c r="L8" s="6" t="n">
        <v>462.35</v>
      </c>
      <c r="M8" s="3" t="n">
        <v>328.4</v>
      </c>
      <c r="N8" s="4">
        <f>L8/$C8*100</f>
        <v/>
      </c>
      <c r="O8" s="7" t="inlineStr">
        <is>
          <t>+40.8%</t>
        </is>
      </c>
      <c r="P8" s="5" t="n">
        <v>1159.203333333333</v>
      </c>
      <c r="Q8" s="4">
        <f>P8/$C8*100</f>
        <v/>
      </c>
    </row>
    <row r="9">
      <c r="A9" t="inlineStr">
        <is>
          <t>Claire Ingram</t>
        </is>
      </c>
      <c r="B9" s="2" t="n">
        <v>1</v>
      </c>
      <c r="C9" s="3" t="n">
        <v>1642</v>
      </c>
      <c r="D9" s="3" t="n">
        <v>227.885</v>
      </c>
      <c r="E9" s="3" t="n">
        <v>656.8000000000001</v>
      </c>
      <c r="F9" s="4">
        <f>D9/$C9*100</f>
        <v/>
      </c>
      <c r="G9" t="inlineStr">
        <is>
          <t>-65.3%</t>
        </is>
      </c>
      <c r="H9" s="3" t="n">
        <v>164.2</v>
      </c>
      <c r="I9" s="3" t="n">
        <v>656.8000000000001</v>
      </c>
      <c r="J9" s="4">
        <f>H9/$C9*100</f>
        <v/>
      </c>
      <c r="K9" t="inlineStr">
        <is>
          <t>-75.0%</t>
        </is>
      </c>
      <c r="L9" s="3" t="n">
        <v>257.1</v>
      </c>
      <c r="M9" s="3" t="n">
        <v>328.4</v>
      </c>
      <c r="N9" s="4">
        <f>L9/$C9*100</f>
        <v/>
      </c>
      <c r="O9" t="inlineStr">
        <is>
          <t>-21.7%</t>
        </is>
      </c>
      <c r="P9" s="5" t="n">
        <v>649.1849999999999</v>
      </c>
      <c r="Q9" s="4">
        <f>P9/$C9*100</f>
        <v/>
      </c>
    </row>
    <row r="10">
      <c r="A10" t="inlineStr">
        <is>
          <t>Claudio Guarnera</t>
        </is>
      </c>
      <c r="B10" s="2" t="n">
        <v>1</v>
      </c>
      <c r="C10" s="3" t="n">
        <v>1642</v>
      </c>
      <c r="D10" s="3" t="n">
        <v>536.04</v>
      </c>
      <c r="E10" s="3" t="n">
        <v>656.8000000000001</v>
      </c>
      <c r="F10" s="4">
        <f>D10/$C10*100</f>
        <v/>
      </c>
      <c r="G10" t="inlineStr">
        <is>
          <t>-18.4%</t>
        </is>
      </c>
      <c r="H10" s="3" t="n">
        <v>276.2</v>
      </c>
      <c r="I10" s="3" t="n">
        <v>656.8000000000001</v>
      </c>
      <c r="J10" s="4">
        <f>H10/$C10*100</f>
        <v/>
      </c>
      <c r="K10" t="inlineStr">
        <is>
          <t>-57.9%</t>
        </is>
      </c>
      <c r="L10" s="3" t="n">
        <v>175</v>
      </c>
      <c r="M10" s="3" t="n">
        <v>328.4</v>
      </c>
      <c r="N10" s="4">
        <f>L10/$C10*100</f>
        <v/>
      </c>
      <c r="O10" t="inlineStr">
        <is>
          <t>-46.7%</t>
        </is>
      </c>
      <c r="P10" s="5" t="n">
        <v>987.24</v>
      </c>
      <c r="Q10" s="4">
        <f>P10/$C10*100</f>
        <v/>
      </c>
    </row>
    <row r="11">
      <c r="A11" t="inlineStr">
        <is>
          <t>Colin Paterson</t>
        </is>
      </c>
      <c r="B11" s="2" t="n">
        <v>1</v>
      </c>
      <c r="C11" s="3" t="n">
        <v>1642</v>
      </c>
      <c r="D11" s="3" t="n">
        <v>228.8</v>
      </c>
      <c r="E11" s="3" t="n">
        <v>656.8000000000001</v>
      </c>
      <c r="F11" s="4">
        <f>D11/$C11*100</f>
        <v/>
      </c>
      <c r="G11" t="inlineStr">
        <is>
          <t>-65.2%</t>
        </is>
      </c>
      <c r="H11" s="3" t="n">
        <v>579.76</v>
      </c>
      <c r="I11" s="3" t="n">
        <v>656.8000000000001</v>
      </c>
      <c r="J11" s="4">
        <f>H11/$C11*100</f>
        <v/>
      </c>
      <c r="K11" t="inlineStr">
        <is>
          <t>-11.7%</t>
        </is>
      </c>
      <c r="L11" s="3" t="n">
        <v>175</v>
      </c>
      <c r="M11" s="3" t="n">
        <v>328.4</v>
      </c>
      <c r="N11" s="4">
        <f>L11/$C11*100</f>
        <v/>
      </c>
      <c r="O11" t="inlineStr">
        <is>
          <t>-46.7%</t>
        </is>
      </c>
      <c r="P11" s="5" t="n">
        <v>983.5599999999999</v>
      </c>
      <c r="Q11" s="4">
        <f>P11/$C11*100</f>
        <v/>
      </c>
    </row>
    <row r="12">
      <c r="A12" t="inlineStr">
        <is>
          <t>Da Li</t>
        </is>
      </c>
      <c r="B12" s="2" t="n">
        <v>1</v>
      </c>
      <c r="C12" s="3" t="n">
        <v>1642</v>
      </c>
      <c r="D12" s="3" t="n">
        <v>410.8</v>
      </c>
      <c r="E12" s="3" t="n">
        <v>656.8000000000001</v>
      </c>
      <c r="F12" s="4">
        <f>D12/$C12*100</f>
        <v/>
      </c>
      <c r="G12" t="inlineStr">
        <is>
          <t>-37.5%</t>
        </is>
      </c>
      <c r="H12" s="3" t="n">
        <v>164.2</v>
      </c>
      <c r="I12" s="3" t="n">
        <v>656.8000000000001</v>
      </c>
      <c r="J12" s="4">
        <f>H12/$C12*100</f>
        <v/>
      </c>
      <c r="K12" t="inlineStr">
        <is>
          <t>-75.0%</t>
        </is>
      </c>
      <c r="L12" s="3" t="n">
        <v>175</v>
      </c>
      <c r="M12" s="3" t="n">
        <v>328.4</v>
      </c>
      <c r="N12" s="4">
        <f>L12/$C12*100</f>
        <v/>
      </c>
      <c r="O12" t="inlineStr">
        <is>
          <t>-46.7%</t>
        </is>
      </c>
      <c r="P12" s="5" t="n">
        <v>750</v>
      </c>
      <c r="Q12" s="4">
        <f>P12/$C12*100</f>
        <v/>
      </c>
    </row>
    <row r="13">
      <c r="A13" t="inlineStr">
        <is>
          <t>Dawn H Wood</t>
        </is>
      </c>
      <c r="B13" s="2" t="n">
        <v>1</v>
      </c>
      <c r="C13" s="3" t="n">
        <v>1642</v>
      </c>
      <c r="D13" s="6" t="n">
        <v>910.85</v>
      </c>
      <c r="E13" s="3" t="n">
        <v>656.8000000000001</v>
      </c>
      <c r="F13" s="4">
        <f>D13/$C13*100</f>
        <v/>
      </c>
      <c r="G13" s="7" t="inlineStr">
        <is>
          <t>+38.7%</t>
        </is>
      </c>
      <c r="H13" s="3" t="n">
        <v>164.2</v>
      </c>
      <c r="I13" s="3" t="n">
        <v>656.8000000000001</v>
      </c>
      <c r="J13" s="4">
        <f>H13/$C13*100</f>
        <v/>
      </c>
      <c r="K13" t="inlineStr">
        <is>
          <t>-75.0%</t>
        </is>
      </c>
      <c r="L13" s="3" t="n">
        <v>175</v>
      </c>
      <c r="M13" s="3" t="n">
        <v>328.4</v>
      </c>
      <c r="N13" s="4">
        <f>L13/$C13*100</f>
        <v/>
      </c>
      <c r="O13" t="inlineStr">
        <is>
          <t>-46.7%</t>
        </is>
      </c>
      <c r="P13" s="5" t="n">
        <v>1250.05</v>
      </c>
      <c r="Q13" s="4">
        <f>P13/$C13*100</f>
        <v/>
      </c>
    </row>
    <row r="14">
      <c r="A14" t="inlineStr">
        <is>
          <t>Detlef Plump</t>
        </is>
      </c>
      <c r="B14" s="2" t="n">
        <v>1</v>
      </c>
      <c r="C14" s="3" t="n">
        <v>1642</v>
      </c>
      <c r="D14" s="3" t="n">
        <v>333.66</v>
      </c>
      <c r="E14" s="3" t="n">
        <v>656.8000000000001</v>
      </c>
      <c r="F14" s="4">
        <f>D14/$C14*100</f>
        <v/>
      </c>
      <c r="G14" t="inlineStr">
        <is>
          <t>-49.2%</t>
        </is>
      </c>
      <c r="H14" s="3" t="n">
        <v>260.2</v>
      </c>
      <c r="I14" s="3" t="n">
        <v>656.8000000000001</v>
      </c>
      <c r="J14" s="4">
        <f>H14/$C14*100</f>
        <v/>
      </c>
      <c r="K14" t="inlineStr">
        <is>
          <t>-60.4%</t>
        </is>
      </c>
      <c r="L14" s="6" t="n">
        <v>503.4</v>
      </c>
      <c r="M14" s="3" t="n">
        <v>328.4</v>
      </c>
      <c r="N14" s="4">
        <f>L14/$C14*100</f>
        <v/>
      </c>
      <c r="O14" s="7" t="inlineStr">
        <is>
          <t>+53.3%</t>
        </is>
      </c>
      <c r="P14" s="5" t="n">
        <v>1097.26</v>
      </c>
      <c r="Q14" s="4">
        <f>P14/$C14*100</f>
        <v/>
      </c>
    </row>
    <row r="15">
      <c r="A15" t="inlineStr">
        <is>
          <t>Dimitar Kazakov</t>
        </is>
      </c>
      <c r="B15" s="2" t="n">
        <v>1</v>
      </c>
      <c r="C15" s="3" t="n">
        <v>1642</v>
      </c>
      <c r="D15" s="3" t="n">
        <v>629.3</v>
      </c>
      <c r="E15" s="3" t="n">
        <v>656.8000000000001</v>
      </c>
      <c r="F15" s="4">
        <f>D15/$C15*100</f>
        <v/>
      </c>
      <c r="G15" t="inlineStr">
        <is>
          <t>OK</t>
        </is>
      </c>
      <c r="H15" s="3" t="n">
        <v>620.2</v>
      </c>
      <c r="I15" s="3" t="n">
        <v>656.8000000000001</v>
      </c>
      <c r="J15" s="4">
        <f>H15/$C15*100</f>
        <v/>
      </c>
      <c r="K15" t="inlineStr">
        <is>
          <t>-5.6%</t>
        </is>
      </c>
      <c r="L15" s="3" t="n">
        <v>175</v>
      </c>
      <c r="M15" s="3" t="n">
        <v>328.4</v>
      </c>
      <c r="N15" s="4">
        <f>L15/$C15*100</f>
        <v/>
      </c>
      <c r="O15" t="inlineStr">
        <is>
          <t>-46.7%</t>
        </is>
      </c>
      <c r="P15" s="5" t="n">
        <v>1424.5</v>
      </c>
      <c r="Q15" s="4">
        <f>P15/$C15*100</f>
        <v/>
      </c>
    </row>
    <row r="16">
      <c r="A16" t="inlineStr">
        <is>
          <t>Dimitris Kolovos</t>
        </is>
      </c>
      <c r="B16" s="2" t="n">
        <v>1</v>
      </c>
      <c r="C16" s="3" t="n">
        <v>1642</v>
      </c>
      <c r="D16" s="3" t="n">
        <v>413.92</v>
      </c>
      <c r="E16" s="3" t="n">
        <v>656.8000000000001</v>
      </c>
      <c r="F16" s="4">
        <f>D16/$C16*100</f>
        <v/>
      </c>
      <c r="G16" t="inlineStr">
        <is>
          <t>-37.0%</t>
        </is>
      </c>
      <c r="H16" s="6" t="n">
        <v>1114.9</v>
      </c>
      <c r="I16" s="3" t="n">
        <v>656.8000000000001</v>
      </c>
      <c r="J16" s="4">
        <f>H16/$C16*100</f>
        <v/>
      </c>
      <c r="K16" s="7" t="inlineStr">
        <is>
          <t>+69.7%</t>
        </is>
      </c>
      <c r="L16" s="3" t="n">
        <v>175</v>
      </c>
      <c r="M16" s="3" t="n">
        <v>328.4</v>
      </c>
      <c r="N16" s="4">
        <f>L16/$C16*100</f>
        <v/>
      </c>
      <c r="O16" t="inlineStr">
        <is>
          <t>-46.7%</t>
        </is>
      </c>
      <c r="P16" s="3" t="n">
        <v>1703.82</v>
      </c>
      <c r="Q16" s="4">
        <f>P16/$C16*100</f>
        <v/>
      </c>
    </row>
    <row r="17">
      <c r="A17" t="inlineStr">
        <is>
          <t>Fang Yan</t>
        </is>
      </c>
      <c r="B17" s="2" t="n">
        <v>1</v>
      </c>
      <c r="C17" s="3" t="n">
        <v>1642</v>
      </c>
      <c r="D17" s="3" t="n">
        <v>461.48</v>
      </c>
      <c r="E17" s="3" t="n">
        <v>656.8000000000001</v>
      </c>
      <c r="F17" s="4">
        <f>D17/$C17*100</f>
        <v/>
      </c>
      <c r="G17" t="inlineStr">
        <is>
          <t>-29.7%</t>
        </is>
      </c>
      <c r="H17" s="3" t="n">
        <v>164.2</v>
      </c>
      <c r="I17" s="3" t="n">
        <v>656.8000000000001</v>
      </c>
      <c r="J17" s="4">
        <f>H17/$C17*100</f>
        <v/>
      </c>
      <c r="K17" t="inlineStr">
        <is>
          <t>-75.0%</t>
        </is>
      </c>
      <c r="L17" s="3" t="n">
        <v>175</v>
      </c>
      <c r="M17" s="3" t="n">
        <v>328.4</v>
      </c>
      <c r="N17" s="4">
        <f>L17/$C17*100</f>
        <v/>
      </c>
      <c r="O17" t="inlineStr">
        <is>
          <t>-46.7%</t>
        </is>
      </c>
      <c r="P17" s="5" t="n">
        <v>800.6800000000001</v>
      </c>
      <c r="Q17" s="4">
        <f>P17/$C17*100</f>
        <v/>
      </c>
    </row>
    <row r="18">
      <c r="A18" t="inlineStr">
        <is>
          <t>Felix Ulrich-Oltean</t>
        </is>
      </c>
      <c r="B18" s="2" t="n">
        <v>1</v>
      </c>
      <c r="C18" s="3" t="n">
        <v>1642</v>
      </c>
      <c r="D18" s="3" t="n">
        <v>423.43</v>
      </c>
      <c r="E18" s="3" t="n">
        <v>656.8000000000001</v>
      </c>
      <c r="F18" s="4">
        <f>D18/$C18*100</f>
        <v/>
      </c>
      <c r="G18" t="inlineStr">
        <is>
          <t>-35.5%</t>
        </is>
      </c>
      <c r="H18" s="3" t="n">
        <v>212.2</v>
      </c>
      <c r="I18" s="3" t="n">
        <v>656.8000000000001</v>
      </c>
      <c r="J18" s="4">
        <f>H18/$C18*100</f>
        <v/>
      </c>
      <c r="K18" t="inlineStr">
        <is>
          <t>-67.7%</t>
        </is>
      </c>
      <c r="L18" s="3" t="n">
        <v>175</v>
      </c>
      <c r="M18" s="3" t="n">
        <v>328.4</v>
      </c>
      <c r="N18" s="4">
        <f>L18/$C18*100</f>
        <v/>
      </c>
      <c r="O18" t="inlineStr">
        <is>
          <t>-46.7%</t>
        </is>
      </c>
      <c r="P18" s="5" t="n">
        <v>810.63</v>
      </c>
      <c r="Q18" s="4">
        <f>P18/$C18*100</f>
        <v/>
      </c>
    </row>
    <row r="19">
      <c r="A19" t="inlineStr">
        <is>
          <t>Frank Soboczenski</t>
        </is>
      </c>
      <c r="B19" s="2" t="n">
        <v>1</v>
      </c>
      <c r="C19" s="3" t="n">
        <v>1642</v>
      </c>
      <c r="D19" s="3" t="n">
        <v>463.8</v>
      </c>
      <c r="E19" s="3" t="n">
        <v>656.8000000000001</v>
      </c>
      <c r="F19" s="4">
        <f>D19/$C19*100</f>
        <v/>
      </c>
      <c r="G19" t="inlineStr">
        <is>
          <t>-29.4%</t>
        </is>
      </c>
      <c r="H19" s="6" t="n">
        <v>1794.42</v>
      </c>
      <c r="I19" s="3" t="n">
        <v>656.8000000000001</v>
      </c>
      <c r="J19" s="4">
        <f>H19/$C19*100</f>
        <v/>
      </c>
      <c r="K19" s="7" t="inlineStr">
        <is>
          <t>+173.2%</t>
        </is>
      </c>
      <c r="L19" s="3" t="n">
        <v>257.1</v>
      </c>
      <c r="M19" s="3" t="n">
        <v>328.4</v>
      </c>
      <c r="N19" s="4">
        <f>L19/$C19*100</f>
        <v/>
      </c>
      <c r="O19" t="inlineStr">
        <is>
          <t>-21.7%</t>
        </is>
      </c>
      <c r="P19" s="8" t="n">
        <v>2515.32</v>
      </c>
      <c r="Q19" s="4">
        <f>P19/$C19*100</f>
        <v/>
      </c>
    </row>
    <row r="20">
      <c r="A20" t="inlineStr">
        <is>
          <t>Iain Bate</t>
        </is>
      </c>
      <c r="B20" s="2" t="n">
        <v>1</v>
      </c>
      <c r="C20" s="3" t="n">
        <v>1642</v>
      </c>
      <c r="D20" s="3" t="n">
        <v>30</v>
      </c>
      <c r="E20" s="3" t="n">
        <v>656.8000000000001</v>
      </c>
      <c r="F20" s="4">
        <f>D20/$C20*100</f>
        <v/>
      </c>
      <c r="G20" t="inlineStr">
        <is>
          <t>-95.4%</t>
        </is>
      </c>
      <c r="H20" s="3" t="n">
        <v>588.6</v>
      </c>
      <c r="I20" s="3" t="n">
        <v>656.8000000000001</v>
      </c>
      <c r="J20" s="4">
        <f>H20/$C20*100</f>
        <v/>
      </c>
      <c r="K20" t="inlineStr">
        <is>
          <t>-10.4%</t>
        </is>
      </c>
      <c r="L20" s="6" t="n">
        <v>1817</v>
      </c>
      <c r="M20" s="3" t="n">
        <v>328.4</v>
      </c>
      <c r="N20" s="4">
        <f>L20/$C20*100</f>
        <v/>
      </c>
      <c r="O20" s="7" t="inlineStr">
        <is>
          <t>+453.3%</t>
        </is>
      </c>
      <c r="P20" s="8" t="n">
        <v>2435.6</v>
      </c>
      <c r="Q20" s="4">
        <f>P20/$C20*100</f>
        <v/>
      </c>
    </row>
    <row r="21">
      <c r="A21" t="inlineStr">
        <is>
          <t>Ian Gray</t>
        </is>
      </c>
      <c r="B21" s="2" t="n">
        <v>1</v>
      </c>
      <c r="C21" s="3" t="n">
        <v>1642</v>
      </c>
      <c r="D21" s="3" t="n">
        <v>425.41</v>
      </c>
      <c r="E21" s="3" t="n">
        <v>656.8000000000001</v>
      </c>
      <c r="F21" s="4">
        <f>D21/$C21*100</f>
        <v/>
      </c>
      <c r="G21" t="inlineStr">
        <is>
          <t>-35.2%</t>
        </is>
      </c>
      <c r="H21" s="3" t="n">
        <v>348.2</v>
      </c>
      <c r="I21" s="3" t="n">
        <v>656.8000000000001</v>
      </c>
      <c r="J21" s="4">
        <f>H21/$C21*100</f>
        <v/>
      </c>
      <c r="K21" t="inlineStr">
        <is>
          <t>-47.0%</t>
        </is>
      </c>
      <c r="L21" s="6" t="n">
        <v>996</v>
      </c>
      <c r="M21" s="3" t="n">
        <v>328.4</v>
      </c>
      <c r="N21" s="4">
        <f>L21/$C21*100</f>
        <v/>
      </c>
      <c r="O21" s="7" t="inlineStr">
        <is>
          <t>+203.3%</t>
        </is>
      </c>
      <c r="P21" s="3" t="n">
        <v>1769.61</v>
      </c>
      <c r="Q21" s="4">
        <f>P21/$C21*100</f>
        <v/>
      </c>
    </row>
    <row r="22">
      <c r="A22" t="inlineStr">
        <is>
          <t>Jacob Rigby</t>
        </is>
      </c>
      <c r="B22" s="2" t="n">
        <v>1</v>
      </c>
      <c r="C22" s="3" t="n">
        <v>1642</v>
      </c>
      <c r="D22" s="9" t="n">
        <v>716.78</v>
      </c>
      <c r="E22" s="3" t="n">
        <v>656.8000000000001</v>
      </c>
      <c r="F22" s="4">
        <f>D22/$C22*100</f>
        <v/>
      </c>
      <c r="G22" s="10" t="inlineStr">
        <is>
          <t>+9.1%</t>
        </is>
      </c>
      <c r="H22" s="3" t="n">
        <v>246.3</v>
      </c>
      <c r="I22" s="3" t="n">
        <v>656.8000000000001</v>
      </c>
      <c r="J22" s="4">
        <f>H22/$C22*100</f>
        <v/>
      </c>
      <c r="K22" t="inlineStr">
        <is>
          <t>-62.5%</t>
        </is>
      </c>
      <c r="L22" s="3" t="n">
        <v>339.2</v>
      </c>
      <c r="M22" s="3" t="n">
        <v>328.4</v>
      </c>
      <c r="N22" s="4">
        <f>L22/$C22*100</f>
        <v/>
      </c>
      <c r="O22" t="inlineStr">
        <is>
          <t>OK</t>
        </is>
      </c>
      <c r="P22" s="5" t="n">
        <v>1302.28</v>
      </c>
      <c r="Q22" s="4">
        <f>P22/$C22*100</f>
        <v/>
      </c>
    </row>
    <row r="23">
      <c r="A23" t="inlineStr">
        <is>
          <t>James Stovold</t>
        </is>
      </c>
      <c r="B23" s="2" t="n">
        <v>1</v>
      </c>
      <c r="C23" s="3" t="n">
        <v>1642</v>
      </c>
      <c r="D23" s="6" t="n">
        <v>1179.04</v>
      </c>
      <c r="E23" s="3" t="n">
        <v>656.8000000000001</v>
      </c>
      <c r="F23" s="4">
        <f>D23/$C23*100</f>
        <v/>
      </c>
      <c r="G23" s="7" t="inlineStr">
        <is>
          <t>+79.5%</t>
        </is>
      </c>
      <c r="H23" s="3" t="n">
        <v>164.2</v>
      </c>
      <c r="I23" s="3" t="n">
        <v>656.8000000000001</v>
      </c>
      <c r="J23" s="4">
        <f>H23/$C23*100</f>
        <v/>
      </c>
      <c r="K23" t="inlineStr">
        <is>
          <t>-75.0%</t>
        </is>
      </c>
      <c r="L23" s="3" t="n">
        <v>257.1</v>
      </c>
      <c r="M23" s="3" t="n">
        <v>328.4</v>
      </c>
      <c r="N23" s="4">
        <f>L23/$C23*100</f>
        <v/>
      </c>
      <c r="O23" t="inlineStr">
        <is>
          <t>-21.7%</t>
        </is>
      </c>
      <c r="P23" s="3" t="n">
        <v>1600.34</v>
      </c>
      <c r="Q23" s="4">
        <f>P23/$C23*100</f>
        <v/>
      </c>
    </row>
    <row r="24">
      <c r="A24" t="inlineStr">
        <is>
          <t>James Walker</t>
        </is>
      </c>
      <c r="B24" s="2" t="n">
        <v>1</v>
      </c>
      <c r="C24" s="3" t="n">
        <v>1642</v>
      </c>
      <c r="D24" s="3" t="n">
        <v>633.04</v>
      </c>
      <c r="E24" s="3" t="n">
        <v>656.8000000000001</v>
      </c>
      <c r="F24" s="4">
        <f>D24/$C24*100</f>
        <v/>
      </c>
      <c r="G24" t="inlineStr">
        <is>
          <t>OK</t>
        </is>
      </c>
      <c r="H24" s="6" t="n">
        <v>1000.8</v>
      </c>
      <c r="I24" s="3" t="n">
        <v>656.8000000000001</v>
      </c>
      <c r="J24" s="4">
        <f>H24/$C24*100</f>
        <v/>
      </c>
      <c r="K24" s="7" t="inlineStr">
        <is>
          <t>+52.4%</t>
        </is>
      </c>
      <c r="L24" s="3" t="n">
        <v>175</v>
      </c>
      <c r="M24" s="3" t="n">
        <v>328.4</v>
      </c>
      <c r="N24" s="4">
        <f>L24/$C24*100</f>
        <v/>
      </c>
      <c r="O24" t="inlineStr">
        <is>
          <t>-46.7%</t>
        </is>
      </c>
      <c r="P24" s="8" t="n">
        <v>1808.84</v>
      </c>
      <c r="Q24" s="4">
        <f>P24/$C24*100</f>
        <v/>
      </c>
    </row>
    <row r="25">
      <c r="A25" t="inlineStr">
        <is>
          <t>Jen Beeston</t>
        </is>
      </c>
      <c r="B25" s="2" t="n">
        <v>1</v>
      </c>
      <c r="C25" s="3" t="n">
        <v>1642</v>
      </c>
      <c r="D25" s="6" t="n">
        <v>1029.8</v>
      </c>
      <c r="E25" s="3" t="n">
        <v>656.8000000000001</v>
      </c>
      <c r="F25" s="4">
        <f>D25/$C25*100</f>
        <v/>
      </c>
      <c r="G25" s="7" t="inlineStr">
        <is>
          <t>+56.8%</t>
        </is>
      </c>
      <c r="H25" s="3" t="n">
        <v>332.2</v>
      </c>
      <c r="I25" s="3" t="n">
        <v>656.8000000000001</v>
      </c>
      <c r="J25" s="4">
        <f>H25/$C25*100</f>
        <v/>
      </c>
      <c r="K25" t="inlineStr">
        <is>
          <t>-49.4%</t>
        </is>
      </c>
      <c r="L25" s="3" t="n">
        <v>175</v>
      </c>
      <c r="M25" s="3" t="n">
        <v>328.4</v>
      </c>
      <c r="N25" s="4">
        <f>L25/$C25*100</f>
        <v/>
      </c>
      <c r="O25" t="inlineStr">
        <is>
          <t>-46.7%</t>
        </is>
      </c>
      <c r="P25" s="3" t="n">
        <v>1537</v>
      </c>
      <c r="Q25" s="4">
        <f>P25/$C25*100</f>
        <v/>
      </c>
    </row>
    <row r="26">
      <c r="A26" t="inlineStr">
        <is>
          <t>Jo Iacovides</t>
        </is>
      </c>
      <c r="B26" s="2" t="n">
        <v>1</v>
      </c>
      <c r="C26" s="3" t="n">
        <v>1642</v>
      </c>
      <c r="D26" s="6" t="n">
        <v>1010.355</v>
      </c>
      <c r="E26" s="3" t="n">
        <v>656.8000000000001</v>
      </c>
      <c r="F26" s="4">
        <f>D26/$C26*100</f>
        <v/>
      </c>
      <c r="G26" s="7" t="inlineStr">
        <is>
          <t>+53.8%</t>
        </is>
      </c>
      <c r="H26" s="3" t="n">
        <v>348.2</v>
      </c>
      <c r="I26" s="3" t="n">
        <v>656.8000000000001</v>
      </c>
      <c r="J26" s="4">
        <f>H26/$C26*100</f>
        <v/>
      </c>
      <c r="K26" t="inlineStr">
        <is>
          <t>-47.0%</t>
        </is>
      </c>
      <c r="L26" s="3" t="n">
        <v>339.2</v>
      </c>
      <c r="M26" s="3" t="n">
        <v>328.4</v>
      </c>
      <c r="N26" s="4">
        <f>L26/$C26*100</f>
        <v/>
      </c>
      <c r="O26" t="inlineStr">
        <is>
          <t>OK</t>
        </is>
      </c>
      <c r="P26" s="3" t="n">
        <v>1697.755</v>
      </c>
      <c r="Q26" s="4">
        <f>P26/$C26*100</f>
        <v/>
      </c>
    </row>
    <row r="27">
      <c r="A27" t="inlineStr">
        <is>
          <t>Joe Cutting</t>
        </is>
      </c>
      <c r="B27" s="2" t="n">
        <v>1</v>
      </c>
      <c r="C27" s="3" t="n">
        <v>1642</v>
      </c>
      <c r="D27" s="6" t="n">
        <v>1021.035</v>
      </c>
      <c r="E27" s="3" t="n">
        <v>656.8000000000001</v>
      </c>
      <c r="F27" s="4">
        <f>D27/$C27*100</f>
        <v/>
      </c>
      <c r="G27" s="7" t="inlineStr">
        <is>
          <t>+55.5%</t>
        </is>
      </c>
      <c r="H27" s="3" t="n">
        <v>228.2</v>
      </c>
      <c r="I27" s="3" t="n">
        <v>656.8000000000001</v>
      </c>
      <c r="J27" s="4">
        <f>H27/$C27*100</f>
        <v/>
      </c>
      <c r="K27" t="inlineStr">
        <is>
          <t>-65.3%</t>
        </is>
      </c>
      <c r="L27" s="3" t="n">
        <v>175</v>
      </c>
      <c r="M27" s="3" t="n">
        <v>328.4</v>
      </c>
      <c r="N27" s="4">
        <f>L27/$C27*100</f>
        <v/>
      </c>
      <c r="O27" t="inlineStr">
        <is>
          <t>-46.7%</t>
        </is>
      </c>
      <c r="P27" s="5" t="n">
        <v>1424.235</v>
      </c>
      <c r="Q27" s="4">
        <f>P27/$C27*100</f>
        <v/>
      </c>
    </row>
    <row r="28">
      <c r="A28" t="inlineStr">
        <is>
          <t>Katrina Attwood</t>
        </is>
      </c>
      <c r="B28" s="2" t="n">
        <v>1</v>
      </c>
      <c r="C28" s="3" t="n">
        <v>1642</v>
      </c>
      <c r="D28" s="6" t="n">
        <v>1093.56</v>
      </c>
      <c r="E28" s="3" t="n">
        <v>656.8000000000001</v>
      </c>
      <c r="F28" s="4">
        <f>D28/$C28*100</f>
        <v/>
      </c>
      <c r="G28" s="7" t="inlineStr">
        <is>
          <t>+66.5%</t>
        </is>
      </c>
      <c r="H28" s="3" t="n">
        <v>212.2</v>
      </c>
      <c r="I28" s="3" t="n">
        <v>656.8000000000001</v>
      </c>
      <c r="J28" s="4">
        <f>H28/$C28*100</f>
        <v/>
      </c>
      <c r="K28" t="inlineStr">
        <is>
          <t>-67.7%</t>
        </is>
      </c>
      <c r="L28" s="6" t="n">
        <v>503.4</v>
      </c>
      <c r="M28" s="3" t="n">
        <v>328.4</v>
      </c>
      <c r="N28" s="4">
        <f>L28/$C28*100</f>
        <v/>
      </c>
      <c r="O28" s="7" t="inlineStr">
        <is>
          <t>+53.3%</t>
        </is>
      </c>
      <c r="P28" s="8" t="n">
        <v>1809.16</v>
      </c>
      <c r="Q28" s="4">
        <f>P28/$C28*100</f>
        <v/>
      </c>
    </row>
    <row r="29">
      <c r="A29" t="inlineStr">
        <is>
          <t>Kofi Appiah</t>
        </is>
      </c>
      <c r="B29" s="2" t="n">
        <v>1</v>
      </c>
      <c r="C29" s="3" t="n">
        <v>1642</v>
      </c>
      <c r="D29" s="6" t="n">
        <v>861.85</v>
      </c>
      <c r="E29" s="3" t="n">
        <v>656.8000000000001</v>
      </c>
      <c r="F29" s="4">
        <f>D29/$C29*100</f>
        <v/>
      </c>
      <c r="G29" s="7" t="inlineStr">
        <is>
          <t>+31.2%</t>
        </is>
      </c>
      <c r="H29" s="3" t="n">
        <v>356.2</v>
      </c>
      <c r="I29" s="3" t="n">
        <v>656.8000000000001</v>
      </c>
      <c r="J29" s="4">
        <f>H29/$C29*100</f>
        <v/>
      </c>
      <c r="K29" t="inlineStr">
        <is>
          <t>-45.8%</t>
        </is>
      </c>
      <c r="L29" s="6" t="n">
        <v>421.3</v>
      </c>
      <c r="M29" s="3" t="n">
        <v>328.4</v>
      </c>
      <c r="N29" s="4">
        <f>L29/$C29*100</f>
        <v/>
      </c>
      <c r="O29" s="7" t="inlineStr">
        <is>
          <t>+28.3%</t>
        </is>
      </c>
      <c r="P29" s="3" t="n">
        <v>1639.35</v>
      </c>
      <c r="Q29" s="4">
        <f>P29/$C29*100</f>
        <v/>
      </c>
    </row>
    <row r="30">
      <c r="A30" t="inlineStr">
        <is>
          <t>Kostas Barmpis</t>
        </is>
      </c>
      <c r="B30" s="2" t="n">
        <v>1</v>
      </c>
      <c r="C30" s="3" t="n">
        <v>1642</v>
      </c>
      <c r="D30" s="6" t="n">
        <v>1069.833333333333</v>
      </c>
      <c r="E30" s="3" t="n">
        <v>656.8000000000001</v>
      </c>
      <c r="F30" s="4">
        <f>D30/$C30*100</f>
        <v/>
      </c>
      <c r="G30" s="7" t="inlineStr">
        <is>
          <t>+62.9%</t>
        </is>
      </c>
      <c r="H30" s="3" t="n">
        <v>548.6</v>
      </c>
      <c r="I30" s="3" t="n">
        <v>656.8000000000001</v>
      </c>
      <c r="J30" s="4">
        <f>H30/$C30*100</f>
        <v/>
      </c>
      <c r="K30" t="inlineStr">
        <is>
          <t>-16.5%</t>
        </is>
      </c>
      <c r="L30" s="3" t="n">
        <v>175</v>
      </c>
      <c r="M30" s="3" t="n">
        <v>328.4</v>
      </c>
      <c r="N30" s="4">
        <f>L30/$C30*100</f>
        <v/>
      </c>
      <c r="O30" t="inlineStr">
        <is>
          <t>-46.7%</t>
        </is>
      </c>
      <c r="P30" s="3" t="n">
        <v>1793.433333333333</v>
      </c>
      <c r="Q30" s="4">
        <f>P30/$C30*100</f>
        <v/>
      </c>
    </row>
    <row r="31">
      <c r="A31" t="inlineStr">
        <is>
          <t>Mike Freeman</t>
        </is>
      </c>
      <c r="B31" s="2" t="n">
        <v>1</v>
      </c>
      <c r="C31" s="3" t="n">
        <v>1642</v>
      </c>
      <c r="D31" s="6" t="n">
        <v>857.1433333333334</v>
      </c>
      <c r="E31" s="3" t="n">
        <v>656.8000000000001</v>
      </c>
      <c r="F31" s="4">
        <f>D31/$C31*100</f>
        <v/>
      </c>
      <c r="G31" s="7" t="inlineStr">
        <is>
          <t>+30.5%</t>
        </is>
      </c>
      <c r="H31" s="3" t="n">
        <v>164.2</v>
      </c>
      <c r="I31" s="3" t="n">
        <v>656.8000000000001</v>
      </c>
      <c r="J31" s="4">
        <f>H31/$C31*100</f>
        <v/>
      </c>
      <c r="K31" t="inlineStr">
        <is>
          <t>-75.0%</t>
        </is>
      </c>
      <c r="L31" s="3" t="n">
        <v>257.1</v>
      </c>
      <c r="M31" s="3" t="n">
        <v>328.4</v>
      </c>
      <c r="N31" s="4">
        <f>L31/$C31*100</f>
        <v/>
      </c>
      <c r="O31" t="inlineStr">
        <is>
          <t>-21.7%</t>
        </is>
      </c>
      <c r="P31" s="5" t="n">
        <v>1278.443333333334</v>
      </c>
      <c r="Q31" s="4">
        <f>P31/$C31*100</f>
        <v/>
      </c>
    </row>
    <row r="32">
      <c r="A32" t="inlineStr">
        <is>
          <t>Mike O'Dea</t>
        </is>
      </c>
      <c r="B32" s="2" t="n">
        <v>1</v>
      </c>
      <c r="C32" s="3" t="n">
        <v>1642</v>
      </c>
      <c r="D32" s="6" t="n">
        <v>842.075</v>
      </c>
      <c r="E32" s="3" t="n">
        <v>656.8000000000001</v>
      </c>
      <c r="F32" s="4">
        <f>D32/$C32*100</f>
        <v/>
      </c>
      <c r="G32" s="7" t="inlineStr">
        <is>
          <t>+28.2%</t>
        </is>
      </c>
      <c r="H32" s="3" t="n">
        <v>164.2</v>
      </c>
      <c r="I32" s="3" t="n">
        <v>656.8000000000001</v>
      </c>
      <c r="J32" s="4">
        <f>H32/$C32*100</f>
        <v/>
      </c>
      <c r="K32" t="inlineStr">
        <is>
          <t>-75.0%</t>
        </is>
      </c>
      <c r="L32" s="3" t="n">
        <v>257.1</v>
      </c>
      <c r="M32" s="3" t="n">
        <v>328.4</v>
      </c>
      <c r="N32" s="4">
        <f>L32/$C32*100</f>
        <v/>
      </c>
      <c r="O32" t="inlineStr">
        <is>
          <t>-21.7%</t>
        </is>
      </c>
      <c r="P32" s="5" t="n">
        <v>1263.375</v>
      </c>
      <c r="Q32" s="4">
        <f>P32/$C32*100</f>
        <v/>
      </c>
    </row>
    <row r="33">
      <c r="A33" t="inlineStr">
        <is>
          <t>Nick Pears</t>
        </is>
      </c>
      <c r="B33" s="2" t="n">
        <v>1</v>
      </c>
      <c r="C33" s="3" t="n">
        <v>1642</v>
      </c>
      <c r="D33" s="3" t="n">
        <v>372.5133333333333</v>
      </c>
      <c r="E33" s="3" t="n">
        <v>656.8000000000001</v>
      </c>
      <c r="F33" s="4">
        <f>D33/$C33*100</f>
        <v/>
      </c>
      <c r="G33" t="inlineStr">
        <is>
          <t>-43.3%</t>
        </is>
      </c>
      <c r="H33" s="3" t="n">
        <v>428.2</v>
      </c>
      <c r="I33" s="3" t="n">
        <v>656.8000000000001</v>
      </c>
      <c r="J33" s="4">
        <f>H33/$C33*100</f>
        <v/>
      </c>
      <c r="K33" t="inlineStr">
        <is>
          <t>-34.8%</t>
        </is>
      </c>
      <c r="L33" s="6" t="n">
        <v>831.8000000000001</v>
      </c>
      <c r="M33" s="3" t="n">
        <v>328.4</v>
      </c>
      <c r="N33" s="4">
        <f>L33/$C33*100</f>
        <v/>
      </c>
      <c r="O33" s="7" t="inlineStr">
        <is>
          <t>+153.3%</t>
        </is>
      </c>
      <c r="P33" s="3" t="n">
        <v>1632.513333333333</v>
      </c>
      <c r="Q33" s="4">
        <f>P33/$C33*100</f>
        <v/>
      </c>
    </row>
    <row r="34">
      <c r="A34" t="inlineStr">
        <is>
          <t>Paul Cairns</t>
        </is>
      </c>
      <c r="B34" s="2" t="n">
        <v>1</v>
      </c>
      <c r="C34" s="3" t="n">
        <v>1642</v>
      </c>
      <c r="D34" s="6" t="n">
        <v>906.145</v>
      </c>
      <c r="E34" s="3" t="n">
        <v>656.8000000000001</v>
      </c>
      <c r="F34" s="4">
        <f>D34/$C34*100</f>
        <v/>
      </c>
      <c r="G34" s="7" t="inlineStr">
        <is>
          <t>+38.0%</t>
        </is>
      </c>
      <c r="H34" s="6" t="n">
        <v>1012.6</v>
      </c>
      <c r="I34" s="3" t="n">
        <v>656.8000000000001</v>
      </c>
      <c r="J34" s="4">
        <f>H34/$C34*100</f>
        <v/>
      </c>
      <c r="K34" s="7" t="inlineStr">
        <is>
          <t>+54.2%</t>
        </is>
      </c>
      <c r="L34" s="3" t="n">
        <v>339.2</v>
      </c>
      <c r="M34" s="3" t="n">
        <v>328.4</v>
      </c>
      <c r="N34" s="4">
        <f>L34/$C34*100</f>
        <v/>
      </c>
      <c r="O34" t="inlineStr">
        <is>
          <t>OK</t>
        </is>
      </c>
      <c r="P34" s="8" t="n">
        <v>2257.945</v>
      </c>
      <c r="Q34" s="4">
        <f>P34/$C34*100</f>
        <v/>
      </c>
    </row>
    <row r="35">
      <c r="A35" t="inlineStr">
        <is>
          <t>Pedro Ribeiro</t>
        </is>
      </c>
      <c r="B35" s="2" t="n">
        <v>1</v>
      </c>
      <c r="C35" s="3" t="n">
        <v>1642</v>
      </c>
      <c r="D35" s="6" t="n">
        <v>1002.263333333333</v>
      </c>
      <c r="E35" s="3" t="n">
        <v>656.8000000000001</v>
      </c>
      <c r="F35" s="4">
        <f>D35/$C35*100</f>
        <v/>
      </c>
      <c r="G35" s="7" t="inlineStr">
        <is>
          <t>+52.6%</t>
        </is>
      </c>
      <c r="H35" s="3" t="n">
        <v>644.6</v>
      </c>
      <c r="I35" s="3" t="n">
        <v>656.8000000000001</v>
      </c>
      <c r="J35" s="4">
        <f>H35/$C35*100</f>
        <v/>
      </c>
      <c r="K35" t="inlineStr">
        <is>
          <t>OK</t>
        </is>
      </c>
      <c r="L35" s="3" t="n">
        <v>339.2</v>
      </c>
      <c r="M35" s="3" t="n">
        <v>328.4</v>
      </c>
      <c r="N35" s="4">
        <f>L35/$C35*100</f>
        <v/>
      </c>
      <c r="O35" t="inlineStr">
        <is>
          <t>OK</t>
        </is>
      </c>
      <c r="P35" s="8" t="n">
        <v>1986.063333333333</v>
      </c>
      <c r="Q35" s="4">
        <f>P35/$C35*100</f>
        <v/>
      </c>
    </row>
    <row r="36">
      <c r="A36" t="inlineStr">
        <is>
          <t>Pengcheng Liu</t>
        </is>
      </c>
      <c r="B36" s="2" t="n">
        <v>1</v>
      </c>
      <c r="C36" s="3" t="n">
        <v>1642</v>
      </c>
      <c r="D36" s="3" t="n">
        <v>229.3</v>
      </c>
      <c r="E36" s="3" t="n">
        <v>656.8000000000001</v>
      </c>
      <c r="F36" s="4">
        <f>D36/$C36*100</f>
        <v/>
      </c>
      <c r="G36" t="inlineStr">
        <is>
          <t>-65.1%</t>
        </is>
      </c>
      <c r="H36" s="6" t="n">
        <v>996.5800000000002</v>
      </c>
      <c r="I36" s="3" t="n">
        <v>656.8000000000001</v>
      </c>
      <c r="J36" s="4">
        <f>H36/$C36*100</f>
        <v/>
      </c>
      <c r="K36" s="7" t="inlineStr">
        <is>
          <t>+51.7%</t>
        </is>
      </c>
      <c r="L36" s="3" t="n">
        <v>175</v>
      </c>
      <c r="M36" s="3" t="n">
        <v>328.4</v>
      </c>
      <c r="N36" s="4">
        <f>L36/$C36*100</f>
        <v/>
      </c>
      <c r="O36" t="inlineStr">
        <is>
          <t>-46.7%</t>
        </is>
      </c>
      <c r="P36" s="5" t="n">
        <v>1400.88</v>
      </c>
      <c r="Q36" s="4">
        <f>P36/$C36*100</f>
        <v/>
      </c>
    </row>
    <row r="37">
      <c r="A37" t="inlineStr">
        <is>
          <t>Peter Nightingale</t>
        </is>
      </c>
      <c r="B37" s="2" t="n">
        <v>1</v>
      </c>
      <c r="C37" s="3" t="n">
        <v>1642</v>
      </c>
      <c r="D37" s="6" t="n">
        <v>1591.03</v>
      </c>
      <c r="E37" s="3" t="n">
        <v>656.8000000000001</v>
      </c>
      <c r="F37" s="4">
        <f>D37/$C37*100</f>
        <v/>
      </c>
      <c r="G37" s="7" t="inlineStr">
        <is>
          <t>+142.2%</t>
        </is>
      </c>
      <c r="H37" s="3" t="n">
        <v>300.2</v>
      </c>
      <c r="I37" s="3" t="n">
        <v>656.8000000000001</v>
      </c>
      <c r="J37" s="4">
        <f>H37/$C37*100</f>
        <v/>
      </c>
      <c r="K37" t="inlineStr">
        <is>
          <t>-54.3%</t>
        </is>
      </c>
      <c r="L37" s="3" t="n">
        <v>339.2</v>
      </c>
      <c r="M37" s="3" t="n">
        <v>328.4</v>
      </c>
      <c r="N37" s="4">
        <f>L37/$C37*100</f>
        <v/>
      </c>
      <c r="O37" t="inlineStr">
        <is>
          <t>OK</t>
        </is>
      </c>
      <c r="P37" s="8" t="n">
        <v>2230.43</v>
      </c>
      <c r="Q37" s="4">
        <f>P37/$C37*100</f>
        <v/>
      </c>
    </row>
    <row r="38">
      <c r="A38" t="inlineStr">
        <is>
          <t>Poonam Yadav</t>
        </is>
      </c>
      <c r="B38" s="2" t="n">
        <v>1</v>
      </c>
      <c r="C38" s="3" t="n">
        <v>1642</v>
      </c>
      <c r="D38" s="3" t="n">
        <v>562.12</v>
      </c>
      <c r="E38" s="3" t="n">
        <v>656.8000000000001</v>
      </c>
      <c r="F38" s="4">
        <f>D38/$C38*100</f>
        <v/>
      </c>
      <c r="G38" t="inlineStr">
        <is>
          <t>-14.4%</t>
        </is>
      </c>
      <c r="H38" s="6" t="n">
        <v>1112.8</v>
      </c>
      <c r="I38" s="3" t="n">
        <v>656.8000000000001</v>
      </c>
      <c r="J38" s="4">
        <f>H38/$C38*100</f>
        <v/>
      </c>
      <c r="K38" s="7" t="inlineStr">
        <is>
          <t>+69.4%</t>
        </is>
      </c>
      <c r="L38" s="3" t="n">
        <v>339.2</v>
      </c>
      <c r="M38" s="3" t="n">
        <v>328.4</v>
      </c>
      <c r="N38" s="4">
        <f>L38/$C38*100</f>
        <v/>
      </c>
      <c r="O38" t="inlineStr">
        <is>
          <t>OK</t>
        </is>
      </c>
      <c r="P38" s="8" t="n">
        <v>2014.12</v>
      </c>
      <c r="Q38" s="4">
        <f>P38/$C38*100</f>
        <v/>
      </c>
    </row>
    <row r="39">
      <c r="A39" t="inlineStr">
        <is>
          <t>Pourya Shamsolmoali</t>
        </is>
      </c>
      <c r="B39" s="2" t="n">
        <v>1</v>
      </c>
      <c r="C39" s="3" t="n">
        <v>1642</v>
      </c>
      <c r="D39" s="6" t="n">
        <v>1012.115</v>
      </c>
      <c r="E39" s="3" t="n">
        <v>656.8000000000001</v>
      </c>
      <c r="F39" s="4">
        <f>D39/$C39*100</f>
        <v/>
      </c>
      <c r="G39" s="7" t="inlineStr">
        <is>
          <t>+54.1%</t>
        </is>
      </c>
      <c r="H39" s="3" t="n">
        <v>228.2</v>
      </c>
      <c r="I39" s="3" t="n">
        <v>656.8000000000001</v>
      </c>
      <c r="J39" s="4">
        <f>H39/$C39*100</f>
        <v/>
      </c>
      <c r="K39" t="inlineStr">
        <is>
          <t>-65.3%</t>
        </is>
      </c>
      <c r="L39" s="3" t="n">
        <v>298.15</v>
      </c>
      <c r="M39" s="3" t="n">
        <v>328.4</v>
      </c>
      <c r="N39" s="4">
        <f>L39/$C39*100</f>
        <v/>
      </c>
      <c r="O39" t="inlineStr">
        <is>
          <t>-9.2%</t>
        </is>
      </c>
      <c r="P39" s="3" t="n">
        <v>1538.465</v>
      </c>
      <c r="Q39" s="4">
        <f>P39/$C39*100</f>
        <v/>
      </c>
    </row>
    <row r="40">
      <c r="A40" t="inlineStr">
        <is>
          <t>Radu Calinescu</t>
        </is>
      </c>
      <c r="B40" s="2" t="n">
        <v>1</v>
      </c>
      <c r="C40" s="3" t="n">
        <v>1642</v>
      </c>
      <c r="D40" s="3" t="n">
        <v>186.43</v>
      </c>
      <c r="E40" s="3" t="n">
        <v>656.8000000000001</v>
      </c>
      <c r="F40" s="4">
        <f>D40/$C40*100</f>
        <v/>
      </c>
      <c r="G40" t="inlineStr">
        <is>
          <t>-71.6%</t>
        </is>
      </c>
      <c r="H40" s="6" t="n">
        <v>918.7</v>
      </c>
      <c r="I40" s="3" t="n">
        <v>656.8000000000001</v>
      </c>
      <c r="J40" s="4">
        <f>H40/$C40*100</f>
        <v/>
      </c>
      <c r="K40" s="7" t="inlineStr">
        <is>
          <t>+39.9%</t>
        </is>
      </c>
      <c r="L40" s="3" t="n">
        <v>175</v>
      </c>
      <c r="M40" s="3" t="n">
        <v>328.4</v>
      </c>
      <c r="N40" s="4">
        <f>L40/$C40*100</f>
        <v/>
      </c>
      <c r="O40" t="inlineStr">
        <is>
          <t>-46.7%</t>
        </is>
      </c>
      <c r="P40" s="5" t="n">
        <v>1280.13</v>
      </c>
      <c r="Q40" s="4">
        <f>P40/$C40*100</f>
        <v/>
      </c>
    </row>
    <row r="41">
      <c r="A41" t="inlineStr">
        <is>
          <t>Rob Alexander</t>
        </is>
      </c>
      <c r="B41" s="2" t="n">
        <v>1</v>
      </c>
      <c r="C41" s="3" t="n">
        <v>1642</v>
      </c>
      <c r="D41" s="3" t="n">
        <v>215.885</v>
      </c>
      <c r="E41" s="3" t="n">
        <v>656.8000000000001</v>
      </c>
      <c r="F41" s="4">
        <f>D41/$C41*100</f>
        <v/>
      </c>
      <c r="G41" t="inlineStr">
        <is>
          <t>-67.1%</t>
        </is>
      </c>
      <c r="H41" s="3" t="n">
        <v>398.3</v>
      </c>
      <c r="I41" s="3" t="n">
        <v>656.8000000000001</v>
      </c>
      <c r="J41" s="4">
        <f>H41/$C41*100</f>
        <v/>
      </c>
      <c r="K41" t="inlineStr">
        <is>
          <t>-39.4%</t>
        </is>
      </c>
      <c r="L41" s="3" t="n">
        <v>175</v>
      </c>
      <c r="M41" s="3" t="n">
        <v>328.4</v>
      </c>
      <c r="N41" s="4">
        <f>L41/$C41*100</f>
        <v/>
      </c>
      <c r="O41" t="inlineStr">
        <is>
          <t>-46.7%</t>
        </is>
      </c>
      <c r="P41" s="5" t="n">
        <v>789.1849999999999</v>
      </c>
      <c r="Q41" s="4">
        <f>P41/$C41*100</f>
        <v/>
      </c>
    </row>
    <row r="42">
      <c r="A42" t="inlineStr">
        <is>
          <t>Robbert Jongeling</t>
        </is>
      </c>
      <c r="B42" s="2" t="n">
        <v>1</v>
      </c>
      <c r="C42" s="3" t="n">
        <v>1642</v>
      </c>
      <c r="D42" s="6" t="n">
        <v>1009.28</v>
      </c>
      <c r="E42" s="3" t="n">
        <v>656.8000000000001</v>
      </c>
      <c r="F42" s="4">
        <f>D42/$C42*100</f>
        <v/>
      </c>
      <c r="G42" s="7" t="inlineStr">
        <is>
          <t>+53.7%</t>
        </is>
      </c>
      <c r="H42" s="3" t="n">
        <v>164.2</v>
      </c>
      <c r="I42" s="3" t="n">
        <v>656.8000000000001</v>
      </c>
      <c r="J42" s="4">
        <f>H42/$C42*100</f>
        <v/>
      </c>
      <c r="K42" t="inlineStr">
        <is>
          <t>-75.0%</t>
        </is>
      </c>
      <c r="L42" s="3" t="n">
        <v>175</v>
      </c>
      <c r="M42" s="3" t="n">
        <v>328.4</v>
      </c>
      <c r="N42" s="4">
        <f>L42/$C42*100</f>
        <v/>
      </c>
      <c r="O42" t="inlineStr">
        <is>
          <t>-46.7%</t>
        </is>
      </c>
      <c r="P42" s="5" t="n">
        <v>1348.48</v>
      </c>
      <c r="Q42" s="4">
        <f>P42/$C42*100</f>
        <v/>
      </c>
    </row>
    <row r="43">
      <c r="A43" t="inlineStr">
        <is>
          <t>Roberto Metere</t>
        </is>
      </c>
      <c r="B43" s="2" t="n">
        <v>1</v>
      </c>
      <c r="C43" s="3" t="n">
        <v>1642</v>
      </c>
      <c r="D43" s="6" t="n">
        <v>1079.741666666667</v>
      </c>
      <c r="E43" s="3" t="n">
        <v>656.8000000000001</v>
      </c>
      <c r="F43" s="4">
        <f>D43/$C43*100</f>
        <v/>
      </c>
      <c r="G43" s="7" t="inlineStr">
        <is>
          <t>+64.4%</t>
        </is>
      </c>
      <c r="H43" s="3" t="n">
        <v>268.2</v>
      </c>
      <c r="I43" s="3" t="n">
        <v>656.8000000000001</v>
      </c>
      <c r="J43" s="4">
        <f>H43/$C43*100</f>
        <v/>
      </c>
      <c r="K43" t="inlineStr">
        <is>
          <t>-59.2%</t>
        </is>
      </c>
      <c r="L43" s="3" t="n">
        <v>175</v>
      </c>
      <c r="M43" s="3" t="n">
        <v>328.4</v>
      </c>
      <c r="N43" s="4">
        <f>L43/$C43*100</f>
        <v/>
      </c>
      <c r="O43" t="inlineStr">
        <is>
          <t>-46.7%</t>
        </is>
      </c>
      <c r="P43" s="3" t="n">
        <v>1522.941666666667</v>
      </c>
      <c r="Q43" s="4">
        <f>P43/$C43*100</f>
        <v/>
      </c>
    </row>
    <row r="44">
      <c r="A44" t="inlineStr">
        <is>
          <t>Sam Braunstein</t>
        </is>
      </c>
      <c r="B44" s="2" t="n">
        <v>1</v>
      </c>
      <c r="C44" s="3" t="n">
        <v>1642</v>
      </c>
      <c r="D44" s="6" t="n">
        <v>812.3916666666668</v>
      </c>
      <c r="E44" s="3" t="n">
        <v>656.8000000000001</v>
      </c>
      <c r="F44" s="4">
        <f>D44/$C44*100</f>
        <v/>
      </c>
      <c r="G44" s="7" t="inlineStr">
        <is>
          <t>+23.7%</t>
        </is>
      </c>
      <c r="H44" s="3" t="n">
        <v>164.2</v>
      </c>
      <c r="I44" s="3" t="n">
        <v>656.8000000000001</v>
      </c>
      <c r="J44" s="4">
        <f>H44/$C44*100</f>
        <v/>
      </c>
      <c r="K44" t="inlineStr">
        <is>
          <t>-75.0%</t>
        </is>
      </c>
      <c r="L44" s="3" t="n">
        <v>175</v>
      </c>
      <c r="M44" s="3" t="n">
        <v>328.4</v>
      </c>
      <c r="N44" s="4">
        <f>L44/$C44*100</f>
        <v/>
      </c>
      <c r="O44" t="inlineStr">
        <is>
          <t>-46.7%</t>
        </is>
      </c>
      <c r="P44" s="5" t="n">
        <v>1151.591666666667</v>
      </c>
      <c r="Q44" s="4">
        <f>P44/$C44*100</f>
        <v/>
      </c>
    </row>
    <row r="45">
      <c r="A45" t="inlineStr">
        <is>
          <t>Siamak Shahandashti</t>
        </is>
      </c>
      <c r="B45" s="2" t="n">
        <v>1</v>
      </c>
      <c r="C45" s="3" t="n">
        <v>1642</v>
      </c>
      <c r="D45" s="3" t="n">
        <v>459.84</v>
      </c>
      <c r="E45" s="3" t="n">
        <v>656.8000000000001</v>
      </c>
      <c r="F45" s="4">
        <f>D45/$C45*100</f>
        <v/>
      </c>
      <c r="G45" t="inlineStr">
        <is>
          <t>-30.0%</t>
        </is>
      </c>
      <c r="H45" s="3" t="n">
        <v>478.3</v>
      </c>
      <c r="I45" s="3" t="n">
        <v>656.8000000000001</v>
      </c>
      <c r="J45" s="4">
        <f>H45/$C45*100</f>
        <v/>
      </c>
      <c r="K45" t="inlineStr">
        <is>
          <t>-27.2%</t>
        </is>
      </c>
      <c r="L45" s="3" t="n">
        <v>339.2</v>
      </c>
      <c r="M45" s="3" t="n">
        <v>328.4</v>
      </c>
      <c r="N45" s="4">
        <f>L45/$C45*100</f>
        <v/>
      </c>
      <c r="O45" t="inlineStr">
        <is>
          <t>OK</t>
        </is>
      </c>
      <c r="P45" s="5" t="n">
        <v>1277.34</v>
      </c>
      <c r="Q45" s="4">
        <f>P45/$C45*100</f>
        <v/>
      </c>
    </row>
    <row r="46">
      <c r="A46" t="inlineStr">
        <is>
          <t>Simon Foster</t>
        </is>
      </c>
      <c r="B46" s="2" t="n">
        <v>1</v>
      </c>
      <c r="C46" s="3" t="n">
        <v>1642</v>
      </c>
      <c r="D46" s="3" t="n">
        <v>445.0966666666667</v>
      </c>
      <c r="E46" s="3" t="n">
        <v>656.8000000000001</v>
      </c>
      <c r="F46" s="4">
        <f>D46/$C46*100</f>
        <v/>
      </c>
      <c r="G46" t="inlineStr">
        <is>
          <t>-32.2%</t>
        </is>
      </c>
      <c r="H46" s="3" t="n">
        <v>276.2</v>
      </c>
      <c r="I46" s="3" t="n">
        <v>656.8000000000001</v>
      </c>
      <c r="J46" s="4">
        <f>H46/$C46*100</f>
        <v/>
      </c>
      <c r="K46" t="inlineStr">
        <is>
          <t>-57.9%</t>
        </is>
      </c>
      <c r="L46" s="3" t="n">
        <v>175</v>
      </c>
      <c r="M46" s="3" t="n">
        <v>328.4</v>
      </c>
      <c r="N46" s="4">
        <f>L46/$C46*100</f>
        <v/>
      </c>
      <c r="O46" t="inlineStr">
        <is>
          <t>-46.7%</t>
        </is>
      </c>
      <c r="P46" s="5" t="n">
        <v>896.2966666666666</v>
      </c>
      <c r="Q46" s="4">
        <f>P46/$C46*100</f>
        <v/>
      </c>
    </row>
    <row r="47">
      <c r="A47" t="inlineStr">
        <is>
          <t>Soumya Banerjee</t>
        </is>
      </c>
      <c r="B47" s="2" t="n">
        <v>1</v>
      </c>
      <c r="C47" s="3" t="n">
        <v>1642</v>
      </c>
      <c r="D47" s="6" t="n">
        <v>1121.84</v>
      </c>
      <c r="E47" s="3" t="n">
        <v>656.8000000000001</v>
      </c>
      <c r="F47" s="4">
        <f>D47/$C47*100</f>
        <v/>
      </c>
      <c r="G47" s="7" t="inlineStr">
        <is>
          <t>+70.8%</t>
        </is>
      </c>
      <c r="H47" s="3" t="n">
        <v>164.2</v>
      </c>
      <c r="I47" s="3" t="n">
        <v>656.8000000000001</v>
      </c>
      <c r="J47" s="4">
        <f>H47/$C47*100</f>
        <v/>
      </c>
      <c r="K47" t="inlineStr">
        <is>
          <t>-75.0%</t>
        </is>
      </c>
      <c r="L47" s="3" t="n">
        <v>175</v>
      </c>
      <c r="M47" s="3" t="n">
        <v>328.4</v>
      </c>
      <c r="N47" s="4">
        <f>L47/$C47*100</f>
        <v/>
      </c>
      <c r="O47" t="inlineStr">
        <is>
          <t>-46.7%</t>
        </is>
      </c>
      <c r="P47" s="5" t="n">
        <v>1461.04</v>
      </c>
      <c r="Q47" s="4">
        <f>P47/$C47*100</f>
        <v/>
      </c>
    </row>
    <row r="48">
      <c r="A48" t="inlineStr">
        <is>
          <t>Stefano Pirandola</t>
        </is>
      </c>
      <c r="B48" s="2" t="n">
        <v>1</v>
      </c>
      <c r="C48" s="3" t="n">
        <v>1642</v>
      </c>
      <c r="D48" s="6" t="n">
        <v>810.8150000000001</v>
      </c>
      <c r="E48" s="3" t="n">
        <v>656.8000000000001</v>
      </c>
      <c r="F48" s="4">
        <f>D48/$C48*100</f>
        <v/>
      </c>
      <c r="G48" s="7" t="inlineStr">
        <is>
          <t>+23.4%</t>
        </is>
      </c>
      <c r="H48" s="3" t="n">
        <v>520.4000000000001</v>
      </c>
      <c r="I48" s="3" t="n">
        <v>656.8000000000001</v>
      </c>
      <c r="J48" s="4">
        <f>H48/$C48*100</f>
        <v/>
      </c>
      <c r="K48" t="inlineStr">
        <is>
          <t>-20.8%</t>
        </is>
      </c>
      <c r="L48" s="6" t="n">
        <v>421.3</v>
      </c>
      <c r="M48" s="3" t="n">
        <v>328.4</v>
      </c>
      <c r="N48" s="4">
        <f>L48/$C48*100</f>
        <v/>
      </c>
      <c r="O48" s="7" t="inlineStr">
        <is>
          <t>+28.3%</t>
        </is>
      </c>
      <c r="P48" s="3" t="n">
        <v>1752.515</v>
      </c>
      <c r="Q48" s="4">
        <f>P48/$C48*100</f>
        <v/>
      </c>
    </row>
    <row r="49">
      <c r="A49" t="inlineStr">
        <is>
          <t>Steven Wright</t>
        </is>
      </c>
      <c r="B49" s="2" t="n">
        <v>1</v>
      </c>
      <c r="C49" s="3" t="n">
        <v>1642</v>
      </c>
      <c r="D49" s="3" t="n">
        <v>540.71</v>
      </c>
      <c r="E49" s="3" t="n">
        <v>656.8000000000001</v>
      </c>
      <c r="F49" s="4">
        <f>D49/$C49*100</f>
        <v/>
      </c>
      <c r="G49" t="inlineStr">
        <is>
          <t>-17.7%</t>
        </is>
      </c>
      <c r="H49" s="3" t="n">
        <v>452.2</v>
      </c>
      <c r="I49" s="3" t="n">
        <v>656.8000000000001</v>
      </c>
      <c r="J49" s="4">
        <f>H49/$C49*100</f>
        <v/>
      </c>
      <c r="K49" t="inlineStr">
        <is>
          <t>-31.2%</t>
        </is>
      </c>
      <c r="L49" s="3" t="n">
        <v>175</v>
      </c>
      <c r="M49" s="3" t="n">
        <v>328.4</v>
      </c>
      <c r="N49" s="4">
        <f>L49/$C49*100</f>
        <v/>
      </c>
      <c r="O49" t="inlineStr">
        <is>
          <t>-46.7%</t>
        </is>
      </c>
      <c r="P49" s="5" t="n">
        <v>1167.91</v>
      </c>
      <c r="Q49" s="4">
        <f>P49/$C49*100</f>
        <v/>
      </c>
    </row>
    <row r="50">
      <c r="A50" t="inlineStr">
        <is>
          <t>Steven Xiaotian Dai</t>
        </is>
      </c>
      <c r="B50" s="2" t="n">
        <v>1</v>
      </c>
      <c r="C50" s="3" t="n">
        <v>1642</v>
      </c>
      <c r="D50" s="6" t="n">
        <v>969.12</v>
      </c>
      <c r="E50" s="3" t="n">
        <v>656.8000000000001</v>
      </c>
      <c r="F50" s="4">
        <f>D50/$C50*100</f>
        <v/>
      </c>
      <c r="G50" s="7" t="inlineStr">
        <is>
          <t>+47.6%</t>
        </is>
      </c>
      <c r="H50" s="3" t="n">
        <v>350.3</v>
      </c>
      <c r="I50" s="3" t="n">
        <v>656.8000000000001</v>
      </c>
      <c r="J50" s="4">
        <f>H50/$C50*100</f>
        <v/>
      </c>
      <c r="K50" t="inlineStr">
        <is>
          <t>-46.7%</t>
        </is>
      </c>
      <c r="L50" s="6" t="n">
        <v>503.4</v>
      </c>
      <c r="M50" s="3" t="n">
        <v>328.4</v>
      </c>
      <c r="N50" s="4">
        <f>L50/$C50*100</f>
        <v/>
      </c>
      <c r="O50" s="7" t="inlineStr">
        <is>
          <t>+53.3%</t>
        </is>
      </c>
      <c r="P50" s="8" t="n">
        <v>1822.82</v>
      </c>
      <c r="Q50" s="4">
        <f>P50/$C50*100</f>
        <v/>
      </c>
    </row>
    <row r="51">
      <c r="A51" t="inlineStr">
        <is>
          <t>Tommy Yuan</t>
        </is>
      </c>
      <c r="B51" s="2" t="n">
        <v>1</v>
      </c>
      <c r="C51" s="3" t="n">
        <v>1642</v>
      </c>
      <c r="D51" s="6" t="n">
        <v>1703.513333333333</v>
      </c>
      <c r="E51" s="3" t="n">
        <v>656.8000000000001</v>
      </c>
      <c r="F51" s="4">
        <f>D51/$C51*100</f>
        <v/>
      </c>
      <c r="G51" s="7" t="inlineStr">
        <is>
          <t>+159.4%</t>
        </is>
      </c>
      <c r="H51" s="3" t="n">
        <v>364.2</v>
      </c>
      <c r="I51" s="3" t="n">
        <v>656.8000000000001</v>
      </c>
      <c r="J51" s="4">
        <f>H51/$C51*100</f>
        <v/>
      </c>
      <c r="K51" t="inlineStr">
        <is>
          <t>-44.5%</t>
        </is>
      </c>
      <c r="L51" s="3" t="n">
        <v>339.2</v>
      </c>
      <c r="M51" s="3" t="n">
        <v>328.4</v>
      </c>
      <c r="N51" s="4">
        <f>L51/$C51*100</f>
        <v/>
      </c>
      <c r="O51" t="inlineStr">
        <is>
          <t>OK</t>
        </is>
      </c>
      <c r="P51" s="8" t="n">
        <v>2406.913333333333</v>
      </c>
      <c r="Q51" s="4">
        <f>P51/$C51*100</f>
        <v/>
      </c>
    </row>
    <row r="52">
      <c r="A52" t="inlineStr">
        <is>
          <t>Vasileios Vasilakis</t>
        </is>
      </c>
      <c r="B52" s="2" t="n">
        <v>1</v>
      </c>
      <c r="C52" s="3" t="n">
        <v>1642</v>
      </c>
      <c r="D52" s="3" t="n">
        <v>332.795</v>
      </c>
      <c r="E52" s="3" t="n">
        <v>656.8000000000001</v>
      </c>
      <c r="F52" s="4">
        <f>D52/$C52*100</f>
        <v/>
      </c>
      <c r="G52" t="inlineStr">
        <is>
          <t>-49.3%</t>
        </is>
      </c>
      <c r="H52" s="3" t="n">
        <v>356.2</v>
      </c>
      <c r="I52" s="3" t="n">
        <v>656.8000000000001</v>
      </c>
      <c r="J52" s="4">
        <f>H52/$C52*100</f>
        <v/>
      </c>
      <c r="K52" t="inlineStr">
        <is>
          <t>-45.8%</t>
        </is>
      </c>
      <c r="L52" s="3" t="n">
        <v>339.2</v>
      </c>
      <c r="M52" s="3" t="n">
        <v>328.4</v>
      </c>
      <c r="N52" s="4">
        <f>L52/$C52*100</f>
        <v/>
      </c>
      <c r="O52" t="inlineStr">
        <is>
          <t>OK</t>
        </is>
      </c>
      <c r="P52" s="5" t="n">
        <v>1028.195</v>
      </c>
      <c r="Q52" s="4">
        <f>P52/$C52*100</f>
        <v/>
      </c>
    </row>
    <row r="53">
      <c r="A53" t="inlineStr">
        <is>
          <t>William Smith</t>
        </is>
      </c>
      <c r="B53" s="2" t="n">
        <v>1</v>
      </c>
      <c r="C53" s="3" t="n">
        <v>1642</v>
      </c>
      <c r="D53" s="6" t="n">
        <v>1018.41</v>
      </c>
      <c r="E53" s="3" t="n">
        <v>656.8000000000001</v>
      </c>
      <c r="F53" s="4">
        <f>D53/$C53*100</f>
        <v/>
      </c>
      <c r="G53" s="7" t="inlineStr">
        <is>
          <t>+55.1%</t>
        </is>
      </c>
      <c r="H53" s="3" t="n">
        <v>676.2</v>
      </c>
      <c r="I53" s="3" t="n">
        <v>656.8000000000001</v>
      </c>
      <c r="J53" s="4">
        <f>H53/$C53*100</f>
        <v/>
      </c>
      <c r="K53" t="inlineStr">
        <is>
          <t>OK</t>
        </is>
      </c>
      <c r="L53" s="3" t="n">
        <v>298.15</v>
      </c>
      <c r="M53" s="3" t="n">
        <v>328.4</v>
      </c>
      <c r="N53" s="4">
        <f>L53/$C53*100</f>
        <v/>
      </c>
      <c r="O53" t="inlineStr">
        <is>
          <t>-9.2%</t>
        </is>
      </c>
      <c r="P53" s="8" t="n">
        <v>1992.76</v>
      </c>
      <c r="Q53" s="4">
        <f>P53/$C53*100</f>
        <v/>
      </c>
    </row>
    <row r="54">
      <c r="A54" t="inlineStr">
        <is>
          <t>Xinwei Fang</t>
        </is>
      </c>
      <c r="B54" s="2" t="n">
        <v>1</v>
      </c>
      <c r="C54" s="3" t="n">
        <v>1642</v>
      </c>
      <c r="D54" s="6" t="n">
        <v>757.505</v>
      </c>
      <c r="E54" s="3" t="n">
        <v>656.8000000000001</v>
      </c>
      <c r="F54" s="4">
        <f>D54/$C54*100</f>
        <v/>
      </c>
      <c r="G54" s="7" t="inlineStr">
        <is>
          <t>+15.3%</t>
        </is>
      </c>
      <c r="H54" s="3" t="n">
        <v>244.2</v>
      </c>
      <c r="I54" s="3" t="n">
        <v>656.8000000000001</v>
      </c>
      <c r="J54" s="4">
        <f>H54/$C54*100</f>
        <v/>
      </c>
      <c r="K54" t="inlineStr">
        <is>
          <t>-62.8%</t>
        </is>
      </c>
      <c r="L54" s="3" t="n">
        <v>257.1</v>
      </c>
      <c r="M54" s="3" t="n">
        <v>328.4</v>
      </c>
      <c r="N54" s="4">
        <f>L54/$C54*100</f>
        <v/>
      </c>
      <c r="O54" t="inlineStr">
        <is>
          <t>-21.7%</t>
        </is>
      </c>
      <c r="P54" s="5" t="n">
        <v>1258.805</v>
      </c>
      <c r="Q54" s="4">
        <f>P54/$C54*100</f>
        <v/>
      </c>
    </row>
    <row r="55">
      <c r="A55" t="inlineStr">
        <is>
          <t>Yan Jia</t>
        </is>
      </c>
      <c r="B55" s="2" t="n">
        <v>1</v>
      </c>
      <c r="C55" s="3" t="n">
        <v>1642</v>
      </c>
      <c r="D55" s="3" t="n">
        <v>468.67</v>
      </c>
      <c r="E55" s="3" t="n">
        <v>656.8000000000001</v>
      </c>
      <c r="F55" s="4">
        <f>D55/$C55*100</f>
        <v/>
      </c>
      <c r="G55" t="inlineStr">
        <is>
          <t>-28.6%</t>
        </is>
      </c>
      <c r="H55" s="3" t="n">
        <v>638.7</v>
      </c>
      <c r="I55" s="3" t="n">
        <v>656.8000000000001</v>
      </c>
      <c r="J55" s="4">
        <f>H55/$C55*100</f>
        <v/>
      </c>
      <c r="K55" t="inlineStr">
        <is>
          <t>OK</t>
        </is>
      </c>
      <c r="L55" s="3" t="n">
        <v>175</v>
      </c>
      <c r="M55" s="3" t="n">
        <v>328.4</v>
      </c>
      <c r="N55" s="4">
        <f>L55/$C55*100</f>
        <v/>
      </c>
      <c r="O55" t="inlineStr">
        <is>
          <t>-46.7%</t>
        </is>
      </c>
      <c r="P55" s="5" t="n">
        <v>1282.37</v>
      </c>
      <c r="Q55" s="4">
        <f>P55/$C55*100</f>
        <v/>
      </c>
    </row>
    <row r="56">
      <c r="A56" t="inlineStr">
        <is>
          <t>Yuchen Zhao</t>
        </is>
      </c>
      <c r="B56" s="2" t="n">
        <v>1</v>
      </c>
      <c r="C56" s="3" t="n">
        <v>1642</v>
      </c>
      <c r="D56" s="6" t="n">
        <v>766.35</v>
      </c>
      <c r="E56" s="3" t="n">
        <v>656.8000000000001</v>
      </c>
      <c r="F56" s="4">
        <f>D56/$C56*100</f>
        <v/>
      </c>
      <c r="G56" s="7" t="inlineStr">
        <is>
          <t>+16.7%</t>
        </is>
      </c>
      <c r="H56" s="3" t="n">
        <v>180.2</v>
      </c>
      <c r="I56" s="3" t="n">
        <v>656.8000000000001</v>
      </c>
      <c r="J56" s="4">
        <f>H56/$C56*100</f>
        <v/>
      </c>
      <c r="K56" t="inlineStr">
        <is>
          <t>-72.6%</t>
        </is>
      </c>
      <c r="L56" s="3" t="n">
        <v>257.1</v>
      </c>
      <c r="M56" s="3" t="n">
        <v>328.4</v>
      </c>
      <c r="N56" s="4">
        <f>L56/$C56*100</f>
        <v/>
      </c>
      <c r="O56" t="inlineStr">
        <is>
          <t>-21.7%</t>
        </is>
      </c>
      <c r="P56" s="5" t="n">
        <v>1203.65</v>
      </c>
      <c r="Q56" s="4">
        <f>P56/$C56*100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2026-08-09T17:42:34Z</dcterms:created>
  <dcterms:modified xmlns:dcterms="http://purl.org/dc/terms/" xmlns:xsi="http://www.w3.org/2001/XMLSchema-instance" xsi:type="dcterms:W3CDTF">2026-08-09T17:42:34Z</dcterms:modified>
</cp:coreProperties>
</file>