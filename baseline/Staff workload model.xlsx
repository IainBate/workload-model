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Workload'!$D$2:$D$64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Workload'!$E$2:$E$64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Workload'!$F$2:$F$64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Breakdown'!$B$2:$B$64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Breakdown'!$C$2:$C$64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Breakdown'!$D$2:$D$64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1112.8</v>
      </c>
      <c r="D2" s="3" t="n">
        <v>443.5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11 projects x UG (16h) = 176.0h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1266.6</v>
      </c>
      <c r="D3" s="3" t="n">
        <v>319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projects x UG (16h) = 80.0h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927.2333333333333</v>
      </c>
      <c r="D4" s="3" t="n">
        <v>319.8333333333333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4 projects x UG (16h) = 64.0h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969.5000000000001</v>
      </c>
      <c r="D5" s="3" t="n">
        <v>0</v>
      </c>
      <c r="E5" s="3" t="n">
        <v>712.4000000000001</v>
      </c>
      <c r="F5" s="3" t="n">
        <v>257.1</v>
      </c>
      <c r="G5" s="4" t="inlineStr"/>
      <c r="H5" s="4" t="inlineStr">
        <is>
          <t>PhD supervision: 8x part-time PhD student × 48h/FTE = 384.0h; Grant RAEng Internships: 0 of 1642h = 0.0h; Grant DOMINOS: Disruption Mitigation for Responsible AI: 10 of 1642h = 164.2h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816.9333333333333</v>
      </c>
      <c r="D6" s="3" t="n">
        <v>395.6333333333333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5 projects x UG (16h) = 80.0h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1176.9</v>
      </c>
      <c r="D7" s="3" t="n">
        <v>357.3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152.0h; Grant BAES-RFP-106192: Task 1 Knowledge Management: 10 of 1642h = 164.2h; Grant MOSAICO: 10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1097.033333333333</v>
      </c>
      <c r="D8" s="3" t="n">
        <v>407.5333333333333</v>
      </c>
      <c r="E8" s="3" t="n">
        <v>350.3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6 projects x UG (16h) = 96.0h</t>
        </is>
      </c>
      <c r="H8" s="4" t="inlineStr">
        <is>
          <t>PhD supervision: 1x full-time PhD student × 80h/FTE; 3x assessor (8h each) = 104.0h; Grant CHEDDAR : Communications Hub for Empowering Distributed clouD computing Applications and Research - TMF uplift: 5 of 1642h = 82.1h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444.5466666666667</v>
      </c>
      <c r="D11" s="3" t="n">
        <v>196.8666666666667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projects x UG (16h) = 32.0h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1008.8</v>
      </c>
      <c r="D12" s="3" t="n">
        <v>385.4</v>
      </c>
      <c r="E12" s="3" t="n">
        <v>448.4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6 projects x UG (16h) = 96.0h;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Advai: 5 of 1642h = 82.1h; Grant KTP with Advai (Industry): 0 of 1642h = 0.0h; Grant A STAR TO STEER BY: 5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816</v>
      </c>
      <c r="D15" s="3" t="n">
        <v>476.8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11 projects x UG (16h) = 176.0h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1152.983333333333</v>
      </c>
      <c r="D16" s="3" t="n">
        <v>389.3833333333333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6 projects x UG (16h) = 96.0h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1126.64</v>
      </c>
      <c r="D18" s="3" t="n">
        <v>50.2</v>
      </c>
      <c r="E18" s="3" t="n">
        <v>786.5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BAES-RFP-106192: Task 1 Knowledge Management: 10 of 1642h = 164.2h; Grant MOSAICO: 5 of 1642h = 82.1h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Frank Soboczenski</t>
        </is>
      </c>
      <c r="B20" s="2" t="n">
        <v>1</v>
      </c>
      <c r="C20" s="3" t="n">
        <v>2143.186666666667</v>
      </c>
      <c r="D20" s="3" t="n">
        <v>91.66666666666666</v>
      </c>
      <c r="E20" s="3" t="n">
        <v>1794.42</v>
      </c>
      <c r="F20" s="3" t="n">
        <v>257.1</v>
      </c>
      <c r="G20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0" s="4" t="inlineStr">
        <is>
          <t>PhD supervision: 2x part-time PhD student × 48h/FTE; 5x assessor (8h each) = 136.0h; Grant Large Language Models for lattice-theoretic reasoning of reactive programs: 11 of 1642h = 180.6h; Grant Centre of Excellence for Regulatory Science and Innovation in AI &amp; Digital Health Technologies (CERSI-AI): 80 of 1642h = 1313.6h</t>
        </is>
      </c>
      <c r="I20" s="4" t="inlineStr">
        <is>
          <t>Academic Admissions Team: 5% of 1642h = 82.1h; Engagement (email/meetings): 100.0h; Personal development: 75.0h (FTE: 1.00)</t>
        </is>
      </c>
      <c r="J20" s="5" t="inlineStr">
        <is>
          <t>None</t>
        </is>
      </c>
      <c r="K20" s="5" t="inlineStr">
        <is>
          <t>LLMA: no student numbers in CS Module Numbers.csv - marking hours estimated from a default of 100 students</t>
        </is>
      </c>
      <c r="L20" s="5" t="inlineStr">
        <is>
          <t>None</t>
        </is>
      </c>
    </row>
    <row r="21">
      <c r="A21" s="2" t="inlineStr">
        <is>
          <t>Iain Bate</t>
        </is>
      </c>
      <c r="B21" s="2" t="n">
        <v>1</v>
      </c>
      <c r="C21" s="3" t="n">
        <v>2107.2</v>
      </c>
      <c r="D21" s="3" t="n">
        <v>30</v>
      </c>
      <c r="E21" s="3" t="n">
        <v>260.2</v>
      </c>
      <c r="F21" s="3" t="n">
        <v>1817</v>
      </c>
      <c r="G21" s="4" t="inlineStr">
        <is>
          <t>; Pastoral: 10 students x 3h = 30.0h</t>
        </is>
      </c>
      <c r="H21" s="4" t="inlineStr">
        <is>
          <t>PhD supervision: 1x full-time PhD student × 80h/FTE; 2x assessor (8h each) = 96.0h</t>
        </is>
      </c>
      <c r="I21" s="4" t="inlineStr">
        <is>
          <t>Head of Department: 100% of 1642h = 1642.0h;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Ian Gray</t>
        </is>
      </c>
      <c r="B22" s="2" t="n">
        <v>1</v>
      </c>
      <c r="C22" s="3" t="n">
        <v>1608.2</v>
      </c>
      <c r="D22" s="3" t="n">
        <v>99.8</v>
      </c>
      <c r="E22" s="3" t="n">
        <v>512.4000000000001</v>
      </c>
      <c r="F22" s="3" t="n">
        <v>996</v>
      </c>
      <c r="G22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2" s="4" t="inlineStr">
        <is>
          <t>PhD supervision: 1x full-time PhD student × 80h/FTE; 2x part-time PhD student × 48h/FTE; 1x assessor (8h each) = 184.0h; Grant BAES-RFP-106192: Task 3 SOA: 10 of 1642h = 164.2h</t>
        </is>
      </c>
      <c r="I22" s="4" t="inlineStr">
        <is>
          <t>Deputy Head of Department (On-campus teaching): 50% of 1642h = 821.0h;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Ibrahim Habli</t>
        </is>
      </c>
      <c r="B23" s="2" t="n">
        <v>1</v>
      </c>
      <c r="C23" s="3" t="n">
        <v>1654.08</v>
      </c>
      <c r="D23" s="3" t="n">
        <v>0</v>
      </c>
      <c r="E23" s="3" t="n">
        <v>1479.08</v>
      </c>
      <c r="F23" s="3" t="n">
        <v>175</v>
      </c>
      <c r="G23" s="4" t="inlineStr">
        <is>
          <t>; Also teaches: Foundations of Safe AI (Safe AI 1) (SAINTS - not included in workload)</t>
        </is>
      </c>
      <c r="H23" s="4" t="inlineStr">
        <is>
          <t>PhD supervision: 2x full-time PhD student × 80h/FTE; 2x part-time PhD student × 48h/FTE; 1x assessor (8h each) = 264.0h; Grant Clinical Risk Management: Train the Trainer programme: 19 of 1642h = 312.0h; Grant AI and Digital Twins (with Alan Turing Institute) BRAID: 10 of 1642h = 164.2h; Grant Encoding Empathy: Solving the Healthcare Workforce Crisis Through the Safe Deployment of an AI-Driven Voice-Based Clinical Conversational Assistant for Long Term Monitoring: 10 of 1642h = 164.2h; Grant Addressing the healthcare workforce crisis with a multilingual, accessible phone-based conversational agent for cataract surgery follow up.: 10 of 1642h = 164.2h; Grant A STAR TO STEER BY: 5 of 1642h = 82.1h; Grant Qualifying Large Language Models for Oversight in Patient Safety Governance: 5 of 1642h = 82.1h; Grant Centre of Excellence for Regulatory Science and Innovation in AI &amp; Digital Health Technologies (CERSI-AI): 5 of 1642h = 82.1h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828.7333333333333</v>
      </c>
      <c r="D24" s="3" t="n">
        <v>243.2333333333333</v>
      </c>
      <c r="E24" s="3" t="n">
        <v>246.3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4" s="4" t="inlineStr">
        <is>
          <t>Grant EPSRC: Addressing environmental injustices through transdisciplinary science and technology: 5 of 1642h = 82.1h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716.8</v>
      </c>
      <c r="D25" s="3" t="n">
        <v>295.5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1469.666666666667</v>
      </c>
      <c r="D26" s="3" t="n">
        <v>293.8666666666667</v>
      </c>
      <c r="E26" s="3" t="n">
        <v>1000.8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projects x UG (16h) = 96.0h</t>
        </is>
      </c>
      <c r="H26" s="4" t="inlineStr">
        <is>
          <t>PhD supervision: 2x full-time PhD student × 80h/FTE; 3x part-time PhD student × 48h/FTE; 5x assessor (8h each) = 344.0h; Grant ALL-VP: AI-Powered Lighting in Live Virtual Production: 20 of 1642h = 328.4h; Grant The DDS: The Data Donation Service for Games: 10 of 1642h = 164.2h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1275.5</v>
      </c>
      <c r="D27" s="3" t="n">
        <v>275.7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4 projects x UG (16h) = 64.0h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969.1</v>
      </c>
      <c r="D28" s="3" t="n">
        <v>281.7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6 projects x UG (16h) = 96.0h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750.3</v>
      </c>
      <c r="D29" s="3" t="n">
        <v>347.1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1156.42</v>
      </c>
      <c r="D30" s="3" t="n">
        <v>0</v>
      </c>
      <c r="E30" s="3" t="n">
        <v>899.3199999999999</v>
      </c>
      <c r="F30" s="3" t="n">
        <v>257.1</v>
      </c>
      <c r="G30" s="4" t="inlineStr"/>
      <c r="H30" s="4" t="inlineStr">
        <is>
          <t>PhD supervision: 3x part-time PhD student × 48h/FTE = 144.0h; Grant Assessment of DSTA USVs and Continual Assurance of CI/CD for USVs: 5 of 1642h = 82.1h; Grant RAI UK: Safety &amp; Security Working Group (revised submission UKRI/CfAA): 20 of 1642h = 328.4h; Grant IMPA Tasking: Phase 1 Pilotage as a complex system: 11 of 1642h = 180.6h</t>
        </is>
      </c>
      <c r="I30" s="4" t="inlineStr">
        <is>
          <t>Research Group Leader: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1122.233333333333</v>
      </c>
      <c r="D31" s="3" t="n">
        <v>406.6333333333333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6 projects x UG (16h) = 96.0h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1205.3</v>
      </c>
      <c r="D32" s="3" t="n">
        <v>427.8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7 projects x UG (16h) = 112.0h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990.5</v>
      </c>
      <c r="D33" s="3" t="n">
        <v>349</v>
      </c>
      <c r="E33" s="3" t="n">
        <v>384.4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projects x UG (16h) = 32.0h</t>
        </is>
      </c>
      <c r="H33" s="4" t="inlineStr">
        <is>
          <t>PhD supervision: 1x part-time PhD student × 48h/FTE; 1x assessor (8h each) = 56.0h; Grant MOSAICO: 10 of 1642h = 164.2h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662.6039999999999</v>
      </c>
      <c r="D34" s="3" t="n">
        <v>242.7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projects x MSc (24h) = 120.0h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778.52</v>
      </c>
      <c r="D35" s="3" t="n">
        <v>47.4</v>
      </c>
      <c r="E35" s="3" t="n">
        <v>328.4</v>
      </c>
      <c r="F35" s="3" t="n">
        <v>402.72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Grant IMPA Tasking: Phase 1 Pilotage as a complex system: 7 of 1642h = 114.9h; Grant Qualifying Large Language Models for Oversight in Patient Safety Governance: 5 of 1642h = 82.1h</t>
        </is>
      </c>
      <c r="I35" s="4" t="inlineStr">
        <is>
          <t>Ethics Committee Member: 20% of 1314h = 262.7h;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757.9333333333334</v>
      </c>
      <c r="D36" s="3" t="n">
        <v>336.6333333333333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928.6</v>
      </c>
      <c r="D37" s="3" t="n">
        <v>507.3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7 projects x UG (16h) = 112.0h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1468.933333333333</v>
      </c>
      <c r="D38" s="3" t="n">
        <v>208.9333333333333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725.3</v>
      </c>
      <c r="D39" s="3" t="n">
        <v>304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projects x MSc (24h) = 120.0h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1451.133333333333</v>
      </c>
      <c r="D40" s="3" t="n">
        <v>345.6333333333333</v>
      </c>
      <c r="E40" s="3" t="n">
        <v>684.2</v>
      </c>
      <c r="F40" s="3" t="n">
        <v>421.3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6 projects x UG (16h) = 96.0h</t>
        </is>
      </c>
      <c r="H40" s="4" t="inlineStr">
        <is>
          <t>PhD supervision: 4x full-time PhD student × 80h/FTE; 3x part-time PhD student × 48h/FTE; 7x assessor (8h each) = 520.0h; Grant BiB Centre for Social Change: 0 of 1642h = 0.0h</t>
        </is>
      </c>
      <c r="I40" s="4" t="inlineStr">
        <is>
          <t>Other PLs: 5% of 1642h = 82.1h; REF Lead: 5% of 1642h = 82.1h; Research Group Leader: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1296.3</v>
      </c>
      <c r="D41" s="3" t="n">
        <v>312.5</v>
      </c>
      <c r="E41" s="3" t="n">
        <v>644.6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1" s="4" t="inlineStr">
        <is>
          <t>PhD supervision: 3x part-time PhD student × 48h/FTE; 1x assessor (8h each) = 152.0h; Grant Large Language Models for lattice-theoretic reasoning of reactive programs: 20 of 1642h = 328.4h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1763.02</v>
      </c>
      <c r="D42" s="3" t="n">
        <v>312.3</v>
      </c>
      <c r="E42" s="3" t="n">
        <v>832.3799999999999</v>
      </c>
      <c r="F42" s="3" t="n">
        <v>618.34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4 projects x UG (16h) = 64.0h</t>
        </is>
      </c>
      <c r="H42" s="4" t="inlineStr">
        <is>
          <t>PhD supervision: 1x full-time PhD student × 80h/FTE; 2x part-time PhD student × 48h/FTE; 2x assessor (8h each) = 192.0h; Grant Establishment of Korea–UK Collaboration Platform for Convergent Research in Quantum Photonics and Artificial Intelligence: 9 of 1642h = 147.8h; Grant Establishing a Safe AI Research Hub: York–UTM–UTB Twin-Lab Initiative: 9 of 1642h = 147.8h; Grant PIE Programme for WiSE (Women in Sustainable and safE AI): 3 of 1642h = 49.3h; Grant Establishment of Korea–UK Collaboration Platform for Convergent Research in Quantum Photonics and Artificial Intelligence - Yr2: 5 of 1642h = 82.1h; Grant RAVEN-SCAR: Adaptive Robotics for XR Lighting Effects: 3 of 1642h = 49.3h</t>
        </is>
      </c>
      <c r="I42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1069.866666666667</v>
      </c>
      <c r="D43" s="3" t="n">
        <v>430.4666666666666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2207.333333333333</v>
      </c>
      <c r="D44" s="3" t="n">
        <v>426.9333333333333</v>
      </c>
      <c r="E44" s="3" t="n">
        <v>1441.2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13 projects x UG (16h) = 208.0h</t>
        </is>
      </c>
      <c r="H44" s="4" t="inlineStr">
        <is>
          <t>PhD supervision: 2x full-time PhD student × 80h/FTE; 6x part-time PhD student × 48h/FTE; 1x assessor (8h each) = 456.0h; Grant CHEDDAR : Communications Hub for Empowering Distributed clouD computing Applications and Research - TMF uplift: 20 of 1642h = 328.4h; Grant CHEDDAR Extension 2025-26: 20 of 1642h = 328.4h; Grant CHEDDAR Funding Apr-Sep 26- PSU296: 5 of 1642h = 82.1h; Grant Orchestrated mobile Network for Blackpool intelligent transport: 5 of 1642h = 82.1h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978.9</v>
      </c>
      <c r="D45" s="3" t="n">
        <v>452.55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projects x UG (16h) = 32.0h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2242.74</v>
      </c>
      <c r="D46" s="3" t="n">
        <v>131</v>
      </c>
      <c r="E46" s="3" t="n">
        <v>1903.9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6" s="4" t="inlineStr">
        <is>
          <t>PhD supervision: 1x full-time PhD student × 80h/FTE; 5x part-time PhD student × 48h/FTE; 3x assessor (8h each) = 344.0h; Grant CHEDDAR : Communications Hub for Empowering Distributed clouD computing Applications and Research - TMF uplift: 5 of 1642h = 82.1h; Grant DOMINOS: Disruption Mitigation for Responsible AI: 10 of 1642h = 164.2h; Grant Regulatory guidelines informing the societal and ethical factors shaping medical AI adoption: 0 of 1642h = 0.0h; Grant ULTIMATE: Universal Stochastic Modelling, Verification and Synthesis'?: 40 of 1642h = 656.8h; Grant Scaling the safe use of AI in automated driving systems: 10 of 1642h = 164.2h; Grant MammoBot: Robotic Posture Assistance for Universal Breast Screening Access: 10 of 1642h = 164.2h; Grant Boosting Ecosystem Resilience through Wood-Ant Colony Relocation: 10 of 1642h = 164.2h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1298.2</v>
      </c>
      <c r="D47" s="3" t="n">
        <v>354.4</v>
      </c>
      <c r="E47" s="3" t="n">
        <v>522.5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6 projects x MSc (24h) = 144.0h</t>
        </is>
      </c>
      <c r="H47" s="4" t="inlineStr">
        <is>
          <t>PhD supervision: 2x part-time PhD student × 48h/FTE; 2x assessor (8h each) = 112.0h; Grant AID: Assuring the safe use of AI-enabled autonomy in nuclear Decommissioning: 10 of 1642h = 164.2h; Grant Rapid Insertion of Technology - Using AI to Streamline Safety Assurance (re-submission): 5 of 1642h = 82.1h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607.78</v>
      </c>
      <c r="D48" s="3" t="n">
        <v>3</v>
      </c>
      <c r="E48" s="3" t="n">
        <v>450.52</v>
      </c>
      <c r="F48" s="3" t="n">
        <v>154.26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5% of 985h = 49.3h;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937.78</v>
      </c>
      <c r="D49" s="3" t="n">
        <v>380.9</v>
      </c>
      <c r="E49" s="3" t="n">
        <v>316.2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6 projects x MSc (24h) = 144.0h</t>
        </is>
      </c>
      <c r="H49" s="4" t="inlineStr">
        <is>
          <t>PhD supervision: 3x part-time PhD student × 48h/FTE; 1x assessor (8h each) = 152.0h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1186.463333333333</v>
      </c>
      <c r="D50" s="3" t="n">
        <v>595.4833333333333</v>
      </c>
      <c r="E50" s="3" t="n">
        <v>350.3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6 projects x UG (16h) = 96.0h</t>
        </is>
      </c>
      <c r="H50" s="4" t="inlineStr">
        <is>
          <t>PhD supervision: 2x part-time PhD student × 48h/FTE; 1x assessor (8h each) = 104.0h; Grant CHEDDAR : Communications Hub for Empowering Distributed clouD computing Applications and Research - TMF uplift: 5 of 1642h = 82.1h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623.7833333333333</v>
      </c>
      <c r="D51" s="3" t="n">
        <v>284.5833333333333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600.66</v>
      </c>
      <c r="D52" s="3" t="n">
        <v>329.3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projects x MSc (24h) = 192.0h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1267.266666666667</v>
      </c>
      <c r="D53" s="3" t="n">
        <v>367.6666666666666</v>
      </c>
      <c r="E53" s="3" t="n">
        <v>478.3</v>
      </c>
      <c r="F53" s="3" t="n">
        <v>421.3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6 projects x UG (16h) = 96.0h</t>
        </is>
      </c>
      <c r="H53" s="4" t="inlineStr">
        <is>
          <t>PhD supervision: 1x full-time PhD student × 80h/FTE; 3x part-time PhD student × 48h/FTE; 1x assessor (8h each) = 232.0h; Grant Participatory Harm Auditing Workbenches &amp; Methodologies: 5 of 1642h = 82.1h</t>
        </is>
      </c>
      <c r="I53" s="4" t="inlineStr">
        <is>
          <t>Deputy Graduate Chair: 10% of 1642h = 164.2h; Research Group Leader: 5% of 1642h = 82.1h;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Foster</t>
        </is>
      </c>
      <c r="B54" s="2" t="n">
        <v>1</v>
      </c>
      <c r="C54" s="3" t="n">
        <v>823.1166666666666</v>
      </c>
      <c r="D54" s="3" t="n">
        <v>371.9166666666666</v>
      </c>
      <c r="E54" s="3" t="n">
        <v>276.2</v>
      </c>
      <c r="F54" s="3" t="n">
        <v>175</v>
      </c>
      <c r="G54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projects x UG (16h) = 32.0h</t>
        </is>
      </c>
      <c r="H54" s="4" t="inlineStr">
        <is>
          <t>PhD supervision: 2x part-time PhD student × 48h/FTE; 2x assessor (8h each) = 112.0h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Simos Gerasimou</t>
        </is>
      </c>
      <c r="B55" s="2" t="n">
        <v>1</v>
      </c>
      <c r="C55" s="3" t="n">
        <v>948.4400000000002</v>
      </c>
      <c r="D55" s="3" t="n">
        <v>0</v>
      </c>
      <c r="E55" s="3" t="n">
        <v>740.6000000000001</v>
      </c>
      <c r="F55" s="3" t="n">
        <v>207.84</v>
      </c>
      <c r="G55" s="4" t="inlineStr"/>
      <c r="H55" s="4" t="inlineStr">
        <is>
          <t>PhD supervision: 1x full-time PhD student × 80h/FTE; 3x part-time PhD student × 48h/FTE; 3x assessor (8h each) = 248.0h; Grant GuardAI ( Enhancing Robustness and Security of Edge AI Systems for Safety-Critical Applications): 0 of 1642h = 0.0h; Grant ULTIMATE: Universal Stochastic Modelling, Verification and Synthesis'?: 20 of 1642h = 328.4h; Grant Cavecore: Doctoral Network on Continuous, Automated Validation, and Evaluation of Cognitive Robots in Open-Ended Environments: 0 of 1642h = 0.0h</t>
        </is>
      </c>
      <c r="I55" s="4" t="inlineStr">
        <is>
          <t>Research Mentor: 2% of 1642h = 32.8h;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Soumya Banerjee</t>
        </is>
      </c>
      <c r="B56" s="2" t="n">
        <v>1</v>
      </c>
      <c r="C56" s="3" t="n">
        <v>807.8333333333334</v>
      </c>
      <c r="D56" s="3" t="n">
        <v>304.4333333333333</v>
      </c>
      <c r="E56" s="3" t="n">
        <v>164.2</v>
      </c>
      <c r="F56" s="3" t="n">
        <v>339.2</v>
      </c>
      <c r="G56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6" s="4" t="inlineStr">
        <is>
          <t>No research activities recorded</t>
        </is>
      </c>
      <c r="I56" s="4" t="inlineStr">
        <is>
          <t>Mumbai Campus Partnership Leader: 10% of 1642h = 164.2h; Engagement (email/meetings): 100.0h; Personal development: 75.0h (FTE: 1.00)</t>
        </is>
      </c>
      <c r="J56" s="5" t="inlineStr">
        <is>
          <t>None</t>
        </is>
      </c>
      <c r="K56" s="5" t="inlineStr">
        <is>
          <t>LLMA: no student numbers in CS Module Numbers.csv - marking hours estimated from a default of 100 students</t>
        </is>
      </c>
      <c r="L56" s="5" t="inlineStr">
        <is>
          <t>None</t>
        </is>
      </c>
    </row>
    <row r="57">
      <c r="A57" s="2" t="inlineStr">
        <is>
          <t>Stefano Pirandola</t>
        </is>
      </c>
      <c r="B57" s="2" t="n">
        <v>1</v>
      </c>
      <c r="C57" s="3" t="n">
        <v>1282.35</v>
      </c>
      <c r="D57" s="3" t="n">
        <v>258.55</v>
      </c>
      <c r="E57" s="3" t="n">
        <v>520.4000000000001</v>
      </c>
      <c r="F57" s="3" t="n">
        <v>503.4</v>
      </c>
      <c r="G57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6 projects x UG (16h) = 96.0h</t>
        </is>
      </c>
      <c r="H57" s="4" t="inlineStr">
        <is>
          <t>PhD supervision: 1x full-time PhD student × 80h/FTE; 2x part-time PhD student × 48h/FTE; 2x assessor (8h each) = 192.0h; Grant Integrated Quantum Networks (IQN) Hub: 10 of 1642h = 164.2h</t>
        </is>
      </c>
      <c r="I57" s="4" t="inlineStr">
        <is>
          <t>Progression Panel Chair: 15% of 1642h = 246.3h; Research Group Leader: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Steven Wright</t>
        </is>
      </c>
      <c r="B58" s="2" t="n">
        <v>1</v>
      </c>
      <c r="C58" s="3" t="n">
        <v>1353.8</v>
      </c>
      <c r="D58" s="3" t="n">
        <v>234</v>
      </c>
      <c r="E58" s="3" t="n">
        <v>452.2</v>
      </c>
      <c r="F58" s="3" t="n">
        <v>667.5999999999999</v>
      </c>
      <c r="G58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8" s="4" t="inlineStr">
        <is>
          <t>PhD supervision: 3x full-time PhD student × 80h/FTE; 1x part-time PhD student × 48h/FTE = 288.0h; Grant Northern Intensive Computing Environment: 0 of 1642h = 0.0h</t>
        </is>
      </c>
      <c r="I58" s="4" t="inlineStr">
        <is>
          <t>CBoE (on-campus): 30% of 1642h = 492.6h;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Xiaotian Dai</t>
        </is>
      </c>
      <c r="B59" s="2" t="n">
        <v>1</v>
      </c>
      <c r="C59" s="3" t="n">
        <v>1271.76</v>
      </c>
      <c r="D59" s="3" t="n">
        <v>368.8</v>
      </c>
      <c r="E59" s="3" t="n">
        <v>399.56</v>
      </c>
      <c r="F59" s="3" t="n">
        <v>503.4</v>
      </c>
      <c r="G59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6 projects x UG (16h) = 96.0h</t>
        </is>
      </c>
      <c r="H59" s="4" t="inlineStr">
        <is>
          <t>PhD supervision: 2x part-time PhD student × 48h/FTE; 1x assessor (8h each) = 104.0h; Grant RAVEN-SCAR: Adaptive Robotics for XR Lighting Effects: 8 of 1642h = 131.4h</t>
        </is>
      </c>
      <c r="I59" s="4" t="inlineStr">
        <is>
          <t>Student Disability Representative: 20% of 1642h = 328.4h;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Tommy Yuan</t>
        </is>
      </c>
      <c r="B60" s="2" t="n">
        <v>1</v>
      </c>
      <c r="C60" s="3" t="n">
        <v>1477.546666666667</v>
      </c>
      <c r="D60" s="3" t="n">
        <v>544.2666666666667</v>
      </c>
      <c r="E60" s="3" t="n">
        <v>364.2</v>
      </c>
      <c r="F60" s="3" t="n">
        <v>569.08</v>
      </c>
      <c r="G60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projects x UG (16h) = 64.0h</t>
        </is>
      </c>
      <c r="H60" s="4" t="inlineStr">
        <is>
          <t>PhD supervision: 1x full-time PhD student × 80h/FTE; 2x part-time PhD student × 48h/FTE; 3x assessor (8h each) = 200.0h</t>
        </is>
      </c>
      <c r="I60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0" s="5" t="inlineStr">
        <is>
          <t>None</t>
        </is>
      </c>
      <c r="K60" s="5" t="inlineStr">
        <is>
          <t>ARIA: no student numbers in CS Module Numbers.csv - marking hours estimated from a default of 100 students</t>
        </is>
      </c>
      <c r="L60" s="5" t="inlineStr">
        <is>
          <t>None</t>
        </is>
      </c>
    </row>
    <row r="61">
      <c r="A61" s="2" t="inlineStr">
        <is>
          <t>Vasileios Vasilakis</t>
        </is>
      </c>
      <c r="B61" s="2" t="n">
        <v>1</v>
      </c>
      <c r="C61" s="3" t="n">
        <v>1079.9</v>
      </c>
      <c r="D61" s="3" t="n">
        <v>384.5</v>
      </c>
      <c r="E61" s="3" t="n">
        <v>356.2</v>
      </c>
      <c r="F61" s="3" t="n">
        <v>339.2</v>
      </c>
      <c r="G61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6 projects x MSc (24h) = 144.0h</t>
        </is>
      </c>
      <c r="H61" s="4" t="inlineStr">
        <is>
          <t>PhD supervision: 1x full-time PhD student × 80h/FTE; 2x part-time PhD student × 48h/FTE; 2x assessor (8h each) = 192.0h</t>
        </is>
      </c>
      <c r="I61" s="4" t="inlineStr">
        <is>
          <t>Deputy CBoEs: 10% of 1642h = 164.2h;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William Smith</t>
        </is>
      </c>
      <c r="B62" s="2" t="n">
        <v>1</v>
      </c>
      <c r="C62" s="3" t="n">
        <v>1834.716666666667</v>
      </c>
      <c r="D62" s="3" t="n">
        <v>367.7666666666667</v>
      </c>
      <c r="E62" s="3" t="n">
        <v>1086.7</v>
      </c>
      <c r="F62" s="3" t="n">
        <v>380.25</v>
      </c>
      <c r="G62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6 projects x UG (16h) = 96.0h</t>
        </is>
      </c>
      <c r="H62" s="4" t="inlineStr">
        <is>
          <t>PhD supervision: 4x full-time PhD student × 80h/FTE; 3x part-time PhD student × 48h/FTE; 6x assessor (8h each) = 512.0h; Grant ALL-VP: AI-Powered Lighting in Live Virtual Production: 20 of 1642h = 328.4h; Grant Proglacial lakes as drivers of glacier retreat and hydrological (in)stability: 5 of 1642h = 82.1h</t>
        </is>
      </c>
      <c r="I62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Xinwei Fang</t>
        </is>
      </c>
      <c r="B63" s="2" t="n">
        <v>1</v>
      </c>
      <c r="C63" s="3" t="n">
        <v>1057.3</v>
      </c>
      <c r="D63" s="3" t="n">
        <v>391.8</v>
      </c>
      <c r="E63" s="3" t="n">
        <v>408.4</v>
      </c>
      <c r="F63" s="3" t="n">
        <v>257.1</v>
      </c>
      <c r="G63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5 projects x UG (16h) = 80.0h</t>
        </is>
      </c>
      <c r="H63" s="4" t="inlineStr">
        <is>
          <t>PhD supervision: 1x full-time PhD student × 80h/FTE = 80.0h; Grant WATERS: Worldwide AquaTic chemical Exposure and Risk System: 10 of 1642h = 164.2h</t>
        </is>
      </c>
      <c r="I63" s="4" t="inlineStr">
        <is>
          <t>Other PLs: 5% of 1642h = 82.1h;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Yuchen Zhao</t>
        </is>
      </c>
      <c r="B64" s="2" t="n">
        <v>1</v>
      </c>
      <c r="C64" s="3" t="n">
        <v>840.5</v>
      </c>
      <c r="D64" s="3" t="n">
        <v>403.2</v>
      </c>
      <c r="E64" s="3" t="n">
        <v>180.2</v>
      </c>
      <c r="F64" s="3" t="n">
        <v>257.1</v>
      </c>
      <c r="G64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6 projects x UG (16h) = 96.0h</t>
        </is>
      </c>
      <c r="H64" s="4" t="inlineStr">
        <is>
          <t>PhD supervision: 2x assessor (8h each) = 16.0h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443.5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319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319.8333333333333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712.4000000000001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395.6333333333333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407.5333333333333</v>
      </c>
      <c r="C8" s="7" t="n">
        <v>350.3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196.8666666666667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385.4</v>
      </c>
      <c r="C12" s="7" t="n">
        <v>448.4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476.8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389.3833333333333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786.5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Frank Soboczenski</t>
        </is>
      </c>
      <c r="B20" s="7" t="n">
        <v>91.66666666666666</v>
      </c>
      <c r="C20" s="7" t="n">
        <v>1794.42</v>
      </c>
      <c r="D20" s="7" t="n">
        <v>257.1</v>
      </c>
      <c r="E20" s="7">
        <f>SUM(B20:D20)</f>
        <v/>
      </c>
    </row>
    <row r="21">
      <c r="A21" t="inlineStr">
        <is>
          <t>Iain Bate</t>
        </is>
      </c>
      <c r="B21" s="7" t="n">
        <v>30</v>
      </c>
      <c r="C21" s="7" t="n">
        <v>260.2</v>
      </c>
      <c r="D21" s="7" t="n">
        <v>1817</v>
      </c>
      <c r="E21" s="7">
        <f>SUM(B21:D21)</f>
        <v/>
      </c>
    </row>
    <row r="22">
      <c r="A22" t="inlineStr">
        <is>
          <t>Ian Gray</t>
        </is>
      </c>
      <c r="B22" s="7" t="n">
        <v>99.8</v>
      </c>
      <c r="C22" s="7" t="n">
        <v>512.4000000000001</v>
      </c>
      <c r="D22" s="7" t="n">
        <v>996</v>
      </c>
      <c r="E22" s="7">
        <f>SUM(B22:D22)</f>
        <v/>
      </c>
    </row>
    <row r="23">
      <c r="A23" t="inlineStr">
        <is>
          <t>Ibrahim Habli</t>
        </is>
      </c>
      <c r="B23" s="7" t="n">
        <v>0</v>
      </c>
      <c r="C23" s="7" t="n">
        <v>1479.08</v>
      </c>
      <c r="D23" s="7" t="n">
        <v>175</v>
      </c>
      <c r="E23" s="7">
        <f>SUM(B23:D23)</f>
        <v/>
      </c>
    </row>
    <row r="24">
      <c r="A24" t="inlineStr">
        <is>
          <t>Jacob Rigby</t>
        </is>
      </c>
      <c r="B24" s="7" t="n">
        <v>243.2333333333333</v>
      </c>
      <c r="C24" s="7" t="n">
        <v>246.3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295.5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293.8666666666667</v>
      </c>
      <c r="C26" s="7" t="n">
        <v>1000.8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275.7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281.7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347.1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899.3199999999999</v>
      </c>
      <c r="D30" s="7" t="n">
        <v>257.1</v>
      </c>
      <c r="E30" s="7">
        <f>SUM(B30:D30)</f>
        <v/>
      </c>
    </row>
    <row r="31">
      <c r="A31" t="inlineStr">
        <is>
          <t>Katrina Attwood</t>
        </is>
      </c>
      <c r="B31" s="7" t="n">
        <v>406.6333333333333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427.8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349</v>
      </c>
      <c r="C33" s="7" t="n">
        <v>384.4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242.7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328.4</v>
      </c>
      <c r="D35" s="7" t="n">
        <v>402.72</v>
      </c>
      <c r="E35" s="7">
        <f>SUM(B35:D35)</f>
        <v/>
      </c>
    </row>
    <row r="36">
      <c r="A36" t="inlineStr">
        <is>
          <t>Mike Freeman</t>
        </is>
      </c>
      <c r="B36" s="7" t="n">
        <v>336.6333333333333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507.3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208.9333333333333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304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345.6333333333333</v>
      </c>
      <c r="C40" s="7" t="n">
        <v>684.2</v>
      </c>
      <c r="D40" s="7" t="n">
        <v>421.3</v>
      </c>
      <c r="E40" s="7">
        <f>SUM(B40:D40)</f>
        <v/>
      </c>
    </row>
    <row r="41">
      <c r="A41" t="inlineStr">
        <is>
          <t>Pedro Ribeiro</t>
        </is>
      </c>
      <c r="B41" s="7" t="n">
        <v>312.5</v>
      </c>
      <c r="C41" s="7" t="n">
        <v>644.6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312.3</v>
      </c>
      <c r="C42" s="7" t="n">
        <v>832.3799999999999</v>
      </c>
      <c r="D42" s="7" t="n">
        <v>618.34</v>
      </c>
      <c r="E42" s="7">
        <f>SUM(B42:D42)</f>
        <v/>
      </c>
    </row>
    <row r="43">
      <c r="A43" t="inlineStr">
        <is>
          <t>Peter Nightingale</t>
        </is>
      </c>
      <c r="B43" s="7" t="n">
        <v>430.4666666666666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426.9333333333333</v>
      </c>
      <c r="C44" s="7" t="n">
        <v>1441.2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452.55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131</v>
      </c>
      <c r="C46" s="7" t="n">
        <v>1903.9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354.4</v>
      </c>
      <c r="C47" s="7" t="n">
        <v>522.5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154.26</v>
      </c>
      <c r="E48" s="7">
        <f>SUM(B48:D48)</f>
        <v/>
      </c>
    </row>
    <row r="49">
      <c r="A49" t="inlineStr">
        <is>
          <t>Rob Alexander</t>
        </is>
      </c>
      <c r="B49" s="7" t="n">
        <v>380.9</v>
      </c>
      <c r="C49" s="7" t="n">
        <v>316.2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595.4833333333333</v>
      </c>
      <c r="C50" s="7" t="n">
        <v>350.3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284.5833333333333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329.3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367.6666666666666</v>
      </c>
      <c r="C53" s="7" t="n">
        <v>478.3</v>
      </c>
      <c r="D53" s="7" t="n">
        <v>421.3</v>
      </c>
      <c r="E53" s="7">
        <f>SUM(B53:D53)</f>
        <v/>
      </c>
    </row>
    <row r="54">
      <c r="A54" t="inlineStr">
        <is>
          <t>Simon Foster</t>
        </is>
      </c>
      <c r="B54" s="7" t="n">
        <v>371.9166666666666</v>
      </c>
      <c r="C54" s="7" t="n">
        <v>276.2</v>
      </c>
      <c r="D54" s="7" t="n">
        <v>175</v>
      </c>
      <c r="E54" s="7">
        <f>SUM(B54:D54)</f>
        <v/>
      </c>
    </row>
    <row r="55">
      <c r="A55" t="inlineStr">
        <is>
          <t>Simos Gerasimou</t>
        </is>
      </c>
      <c r="B55" s="7" t="n">
        <v>0</v>
      </c>
      <c r="C55" s="7" t="n">
        <v>740.6000000000001</v>
      </c>
      <c r="D55" s="7" t="n">
        <v>207.84</v>
      </c>
      <c r="E55" s="7">
        <f>SUM(B55:D55)</f>
        <v/>
      </c>
    </row>
    <row r="56">
      <c r="A56" t="inlineStr">
        <is>
          <t>Soumya Banerjee</t>
        </is>
      </c>
      <c r="B56" s="7" t="n">
        <v>304.4333333333333</v>
      </c>
      <c r="C56" s="7" t="n">
        <v>164.2</v>
      </c>
      <c r="D56" s="7" t="n">
        <v>339.2</v>
      </c>
      <c r="E56" s="7">
        <f>SUM(B56:D56)</f>
        <v/>
      </c>
    </row>
    <row r="57">
      <c r="A57" t="inlineStr">
        <is>
          <t>Stefano Pirandola</t>
        </is>
      </c>
      <c r="B57" s="7" t="n">
        <v>258.55</v>
      </c>
      <c r="C57" s="7" t="n">
        <v>520.4000000000001</v>
      </c>
      <c r="D57" s="7" t="n">
        <v>503.4</v>
      </c>
      <c r="E57" s="7">
        <f>SUM(B57:D57)</f>
        <v/>
      </c>
    </row>
    <row r="58">
      <c r="A58" t="inlineStr">
        <is>
          <t>Steven Wright</t>
        </is>
      </c>
      <c r="B58" s="7" t="n">
        <v>234</v>
      </c>
      <c r="C58" s="7" t="n">
        <v>452.2</v>
      </c>
      <c r="D58" s="7" t="n">
        <v>667.5999999999999</v>
      </c>
      <c r="E58" s="7">
        <f>SUM(B58:D58)</f>
        <v/>
      </c>
    </row>
    <row r="59">
      <c r="A59" t="inlineStr">
        <is>
          <t>Steven Xiaotian Dai</t>
        </is>
      </c>
      <c r="B59" s="7" t="n">
        <v>368.8</v>
      </c>
      <c r="C59" s="7" t="n">
        <v>399.56</v>
      </c>
      <c r="D59" s="7" t="n">
        <v>503.4</v>
      </c>
      <c r="E59" s="7">
        <f>SUM(B59:D59)</f>
        <v/>
      </c>
    </row>
    <row r="60">
      <c r="A60" t="inlineStr">
        <is>
          <t>Tommy Yuan</t>
        </is>
      </c>
      <c r="B60" s="7" t="n">
        <v>544.2666666666667</v>
      </c>
      <c r="C60" s="7" t="n">
        <v>364.2</v>
      </c>
      <c r="D60" s="7" t="n">
        <v>569.08</v>
      </c>
      <c r="E60" s="7">
        <f>SUM(B60:D60)</f>
        <v/>
      </c>
    </row>
    <row r="61">
      <c r="A61" t="inlineStr">
        <is>
          <t>Vasileios Vasilakis</t>
        </is>
      </c>
      <c r="B61" s="7" t="n">
        <v>384.5</v>
      </c>
      <c r="C61" s="7" t="n">
        <v>356.2</v>
      </c>
      <c r="D61" s="7" t="n">
        <v>339.2</v>
      </c>
      <c r="E61" s="7">
        <f>SUM(B61:D61)</f>
        <v/>
      </c>
    </row>
    <row r="62">
      <c r="A62" t="inlineStr">
        <is>
          <t>William Smith</t>
        </is>
      </c>
      <c r="B62" s="7" t="n">
        <v>367.7666666666667</v>
      </c>
      <c r="C62" s="7" t="n">
        <v>1086.7</v>
      </c>
      <c r="D62" s="7" t="n">
        <v>380.25</v>
      </c>
      <c r="E62" s="7">
        <f>SUM(B62:D62)</f>
        <v/>
      </c>
    </row>
    <row r="63">
      <c r="A63" t="inlineStr">
        <is>
          <t>Xinwei Fang</t>
        </is>
      </c>
      <c r="B63" s="7" t="n">
        <v>391.8</v>
      </c>
      <c r="C63" s="7" t="n">
        <v>408.4</v>
      </c>
      <c r="D63" s="7" t="n">
        <v>257.1</v>
      </c>
      <c r="E63" s="7">
        <f>SUM(B63:D63)</f>
        <v/>
      </c>
    </row>
    <row r="64">
      <c r="A64" t="inlineStr">
        <is>
          <t>Yuchen Zhao</t>
        </is>
      </c>
      <c r="B64" s="7" t="n">
        <v>403.2</v>
      </c>
      <c r="C64" s="7" t="n">
        <v>180.2</v>
      </c>
      <c r="D64" s="7" t="n">
        <v>257.1</v>
      </c>
      <c r="E64" s="7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2026-09-11T09:08:18Z</dcterms:created>
  <dcterms:modified xmlns:dcterms="http://purl.org/dc/terms/" xmlns:xsi="http://www.w3.org/2001/XMLSchema-instance" xsi:type="dcterms:W3CDTF">2026-09-11T09:08:18Z</dcterms:modified>
</cp:coreProperties>
</file>