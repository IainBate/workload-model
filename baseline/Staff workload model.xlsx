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Workload'!$D$2:$D$56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Workload'!$E$2:$E$56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Workload'!$F$2:$F$56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Breakdown'!$B$2:$B$56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Breakdown'!$C$2:$C$56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Breakdown'!$D$2:$D$56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983.6</v>
      </c>
      <c r="D2" s="3" t="n">
        <v>314.3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1263.614</v>
      </c>
      <c r="D3" s="3" t="n">
        <v>316.014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Project setting (fixed): 6.0h;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808.9373333333333</v>
      </c>
      <c r="D4" s="3" t="n">
        <v>201.5373333333333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Project setting (fixed): 6.0h;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846.8866666666667</v>
      </c>
      <c r="D5" s="3" t="n">
        <v>425.5866666666666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SYS2 (20cr): Andrew Pomfret: Standard (2.5x): 0.0h/teacher @ 2.5x;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1012.553333333334</v>
      </c>
      <c r="D6" s="3" t="n">
        <v>192.9533333333333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Standard lecturers: 2.5x first session (standard), 1.5x repeats; First time delivery: 1 sessions/week @ 2.0h each; - Standard lecturers: 2.5x first session (standard), 1.5x repeats;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Project setting (fixed): 6.0h;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921.9026666666666</v>
      </c>
      <c r="D7" s="3" t="n">
        <v>314.5026666666666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Standard lecturers: 2.5x first session (standard), 1.5x repeats; First time delivery: 1 sessions/week @ 3.0h each; - Standard lecturers: 2.5x first session (standard), 1.5x repeats;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1066.247333333333</v>
      </c>
      <c r="D8" s="3" t="n">
        <v>439.6973333333333</v>
      </c>
      <c r="E8" s="3" t="n">
        <v>164.2</v>
      </c>
      <c r="F8" s="3" t="n">
        <v>462.35</v>
      </c>
      <c r="G8" s="4" t="inlineStr">
        <is>
          <t>SYS2 (20cr): Christopher Crispin-Bailey: New lecturer (5.0x): 0.0h base @ 2.5x + 0.0h content dev;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647.034</v>
      </c>
      <c r="D9" s="3" t="n">
        <v>225.734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Project setting (fixed): 6.0h;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631.6613333333333</v>
      </c>
      <c r="D10" s="3" t="n">
        <v>180.4613333333333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983.5599999999999</v>
      </c>
      <c r="D11" s="3" t="n">
        <v>228.8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Project setting (fixed): 6.0h;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651</v>
      </c>
      <c r="D12" s="3" t="n">
        <v>311.8</v>
      </c>
      <c r="E12" s="3" t="n">
        <v>164.2</v>
      </c>
      <c r="F12" s="3" t="n">
        <v>175</v>
      </c>
      <c r="G12" s="4" t="inlineStr">
        <is>
          <t>SYS3 (20cr): Da Li: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718.4933333333333</v>
      </c>
      <c r="D13" s="3" t="n">
        <v>379.2933333333334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1096.725333333333</v>
      </c>
      <c r="D14" s="3" t="n">
        <v>333.1253333333333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1225.7</v>
      </c>
      <c r="D15" s="3" t="n">
        <v>266.3</v>
      </c>
      <c r="E15" s="3" t="n">
        <v>620.2</v>
      </c>
      <c r="F15" s="3" t="n">
        <v>339.2</v>
      </c>
      <c r="G15" s="4" t="inlineStr">
        <is>
          <t>NLPG (20cr): Dimitar Kazakov: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10% of 1642h = 164.2h;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1327.986666666667</v>
      </c>
      <c r="D16" s="3" t="n">
        <v>38.08666666666667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616.8119999999999</v>
      </c>
      <c r="D17" s="3" t="n">
        <v>277.612</v>
      </c>
      <c r="E17" s="3" t="n">
        <v>164.2</v>
      </c>
      <c r="F17" s="3" t="n">
        <v>175</v>
      </c>
      <c r="G17" s="4" t="inlineStr">
        <is>
          <t>SOF2 (20cr): Fang Yan: New lecturer (5.0x): 0.0h base @ 2.5x + 0.0h content dev;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THE3 (20cr): Fang Yan: New lecturer (5.0x): 0.0h base @ 2.5x + 0.0h content dev;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439.38</v>
      </c>
      <c r="D18" s="3" t="n">
        <v>52.18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2116.57</v>
      </c>
      <c r="D19" s="3" t="n">
        <v>65.05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1406.61</v>
      </c>
      <c r="D21" s="3" t="n">
        <v>62.41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946.6573333333333</v>
      </c>
      <c r="D22" s="3" t="n">
        <v>361.1573333333333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Projects (40cr): Jacob Rigby: Standard (2.5x): 0.0h/teacher @ 2.5x; Standard (15h/assess, manual): 7.5h main + 7.5h resit = 15.0h; Project setting (fixed): 6.0h;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822.09</v>
      </c>
      <c r="D23" s="3" t="n">
        <v>400.79</v>
      </c>
      <c r="E23" s="3" t="n">
        <v>164.2</v>
      </c>
      <c r="F23" s="3" t="n">
        <v>257.1</v>
      </c>
      <c r="G23" s="4" t="inlineStr">
        <is>
          <t>DEEP (20cr): James Stovold: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LLMA (20cr): James Stovold: New lecturer (5.0x): 0.0h base @ 2.5x + 0.0h content dev; New setter (15h/assess, manual): 3.8h main + 3.8h resit = 11.2h; Standard (15h/assess, manual): 3.8h main + 3.8h resit = 7.5h; Project setting (fixed): 6.0h;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1453.261333333333</v>
      </c>
      <c r="D24" s="3" t="n">
        <v>277.4613333333333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802.75</v>
      </c>
      <c r="D25" s="3" t="n">
        <v>295.55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955.354</v>
      </c>
      <c r="D26" s="3" t="n">
        <v>267.954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Project setting (fixed): 6.0h;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690.018</v>
      </c>
      <c r="D27" s="3" t="n">
        <v>286.818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1090.537333333333</v>
      </c>
      <c r="D28" s="3" t="n">
        <v>374.9373333333333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1107.793333333333</v>
      </c>
      <c r="D29" s="3" t="n">
        <v>330.2933333333334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1125.7</v>
      </c>
      <c r="D30" s="3" t="n">
        <v>320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Project setting (fixed): 6.0h;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867.8866666666667</v>
      </c>
      <c r="D31" s="3" t="n">
        <v>446.5866666666666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SYS2 (20cr): Mike Freeman: Standard (2.5x): 0.0h/teacher @ 2.5x;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First time delivery: 2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548.606</v>
      </c>
      <c r="D32" s="3" t="n">
        <v>127.306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GODS (20cr): Mike O'Dea: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1454.724</v>
      </c>
      <c r="D33" s="3" t="n">
        <v>194.724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New setter (15h/assess, manual): 2.5h main + 2.5h resit = 7.5h; Standard (15h/assess, manual): 2.5h main + 2.5h resit = 5.0h; Standard (15h/assess, manual): 2.5h main + 2.5h resit = 5.0h; Project setting (fixed): 6.0h;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1539.421333333333</v>
      </c>
      <c r="D34" s="3" t="n">
        <v>187.6213333333333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HCIN (20cr): Paul Cairns: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1243.717333333333</v>
      </c>
      <c r="D35" s="3" t="n">
        <v>259.9173333333333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Project setting (fixed): 6.0h;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1356.88</v>
      </c>
      <c r="D36" s="3" t="n">
        <v>185.3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New setter (15h/assess, manual): 2.5h main + 2.5h resit = 7.5h; Project setting (fixed): 6.0h;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1006.68</v>
      </c>
      <c r="D37" s="3" t="n">
        <v>367.28</v>
      </c>
      <c r="E37" s="3" t="n">
        <v>300.2</v>
      </c>
      <c r="F37" s="3" t="n">
        <v>339.2</v>
      </c>
      <c r="G37" s="4" t="inlineStr">
        <is>
          <t>ARIA (20cr): Peter Nightingale: Existing lecturer + new content (5.0x): 0.0h base @ 2.5x + 0.0h content dev; Standard (15h/assess, manual): 3.8h main + 3.8h resit = 7.5h; Standard (15h/assess, manual): 3.8h main + 3.8h resit = 7.5h; FOAM (20cr): Peter Nightingale: Existing lecturer + new content (5.0x):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Project setting (fixed): 6.0h;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Poonam Yadav</t>
        </is>
      </c>
      <c r="B38" s="2" t="n">
        <v>1</v>
      </c>
      <c r="C38" s="3" t="n">
        <v>1665.830666666667</v>
      </c>
      <c r="D38" s="3" t="n">
        <v>213.8306666666667</v>
      </c>
      <c r="E38" s="3" t="n">
        <v>1112.8</v>
      </c>
      <c r="F38" s="3" t="n">
        <v>339.2</v>
      </c>
      <c r="G38" s="4" t="inlineStr">
        <is>
          <t>SOF1 (20cr): Poonam Yadav: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2.5h main + 2.5h resit = 5.0h; Standard (15h/assess, manual): 2.5h main + 2.5h resit = 5.0h; Standard (15h/assess, manual): 2.5h main + 2.5h resit = 5.0h; Project setting (fixed): 6.0h; Pastoral: 25 students x 3h = 75.0h; Projects: 2 projects x UG (16h) = 32.0h</t>
        </is>
      </c>
      <c r="H38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8" s="4" t="inlineStr">
        <is>
          <t>Progression Panel: 10% of 1642h = 164.2h;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</row>
    <row r="39">
      <c r="A39" s="2" t="inlineStr">
        <is>
          <t>Pourya Shamsolmoali</t>
        </is>
      </c>
      <c r="B39" s="2" t="n">
        <v>1</v>
      </c>
      <c r="C39" s="3" t="n">
        <v>841.9193333333334</v>
      </c>
      <c r="D39" s="3" t="n">
        <v>315.5693333333334</v>
      </c>
      <c r="E39" s="3" t="n">
        <v>228.2</v>
      </c>
      <c r="F39" s="3" t="n">
        <v>298.15</v>
      </c>
      <c r="G39" s="4" t="inlineStr">
        <is>
          <t>DATA (20cr): Pourya Shamsolmoali: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IMLO (20cr): Pourya Shamsolmoali: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Standard (15h/assess, manual): 5.0h main + 5.0h resit = 10.0h; Standard (15h/assess, manual): 5.0h main + 5.0h resit = 10.0h; Project setting (fixed): 6.0h; Pastoral: 5 students x 3h = 15.0h; Projects: 4 projects x UG (16h) = 64.0h</t>
        </is>
      </c>
      <c r="H39" s="4" t="inlineStr">
        <is>
          <t>PhD supervision: 1x part-time PhD student × 48h/FTE; 2x assessor (8h each) = 64.0h</t>
        </is>
      </c>
      <c r="I39" s="4" t="inlineStr">
        <is>
          <t>Graduate School Board (Ordinary member): 2% of 1642h = 41.1h; 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Radu Calinescu</t>
        </is>
      </c>
      <c r="B40" s="2" t="n">
        <v>1</v>
      </c>
      <c r="C40" s="3" t="n">
        <v>1237.88</v>
      </c>
      <c r="D40" s="3" t="n">
        <v>144.18</v>
      </c>
      <c r="E40" s="3" t="n">
        <v>918.7</v>
      </c>
      <c r="F40" s="3" t="n">
        <v>175</v>
      </c>
      <c r="G40" s="4" t="inlineStr">
        <is>
          <t>GPIG (40cr): Radu Calinescu: Standard (2.5x): 0.0h/teacher @ 2.5x; Standard (15h/assess, manual): 11.2h main + 11.2h resit = 22.5h; Standard (15h/assess, manual): 11.2h main + 11.2h resit = 22.5h; Project setting (fixed): 6.0h; Pastoral: 9 students x 3h = 27.0h; Projects: 1 projects x UG (16h) = 16.0h</t>
        </is>
      </c>
      <c r="H40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0" s="4" t="inlineStr">
        <is>
          <t>Engagement (email/meetings): 100.0h; Personal development: 75.0h (FTE: 1.00)</t>
        </is>
      </c>
      <c r="J40" s="5" t="inlineStr">
        <is>
          <t>None</t>
        </is>
      </c>
      <c r="K40" s="5" t="inlineStr">
        <is>
          <t>No administrative roles assigned</t>
        </is>
      </c>
    </row>
    <row r="41">
      <c r="A41" s="2" t="inlineStr">
        <is>
          <t>Rob Alexander</t>
        </is>
      </c>
      <c r="B41" s="2" t="n">
        <v>1</v>
      </c>
      <c r="C41" s="3" t="n">
        <v>787.034</v>
      </c>
      <c r="D41" s="3" t="n">
        <v>213.734</v>
      </c>
      <c r="E41" s="3" t="n">
        <v>398.3</v>
      </c>
      <c r="F41" s="3" t="n">
        <v>175</v>
      </c>
      <c r="G41" s="4" t="inlineStr">
        <is>
          <t>HINT (20cr): Rob Alexander: Standard (2.5x): 0.0h/teacher @ 2.5x; Standard (15h/assess, manual): 3.8h main + 3.8h resit = 7.5h; Standard (15h/assess, manual): 3.8h main + 3.8h resit = 7.5h; Project setting (fixed): 6.0h; Pastoral: 13 students x 3h = 39.0h; Projects: 7 projects x UG (16h) = 112.0h</t>
        </is>
      </c>
      <c r="H41" s="4" t="inlineStr">
        <is>
          <t>PhD supervision: 3x part-time PhD student × 48h/FTE; 1x assessor (8h each) = 152.0h; Grant The Centre for Assuring Autonomy: 5% of 1642h = 82.1h</t>
        </is>
      </c>
      <c r="I41" s="4" t="inlineStr">
        <is>
          <t>StAMP committee members: 0% of 1642h = 0.0h;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</row>
    <row r="42">
      <c r="A42" s="2" t="inlineStr">
        <is>
          <t>Robbert Jongeling</t>
        </is>
      </c>
      <c r="B42" s="2" t="n">
        <v>1</v>
      </c>
      <c r="C42" s="3" t="n">
        <v>567.48</v>
      </c>
      <c r="D42" s="3" t="n">
        <v>228.28</v>
      </c>
      <c r="E42" s="3" t="n">
        <v>164.2</v>
      </c>
      <c r="F42" s="3" t="n">
        <v>175</v>
      </c>
      <c r="G42" s="4" t="inlineStr">
        <is>
          <t>ELLA (20cr): Robbert Jongeling: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New setter (15h/assess, manual): 2.5h main + 2.5h resit = 7.5h; Standard (15h/assess, manual): 2.5h main + 2.5h resit = 5.0h; New setter (15h/assess, manual): 2.5h main + 2.5h resit = 7.5h; ENG1 (20cr): Robbert Jongeling: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New setter (15h/assess, manual): 5.0h main + 5.0h resit = 15.0h; Standard (15h/assess, manual): 5.0h main + 5.0h resit = 10.0h; Project setting (fixed): 6.0h; Pastoral: 2 students x 3h = 6.0h; Projects: 2 projects x UG (16h) = 32.0h</t>
        </is>
      </c>
      <c r="H42" s="4" t="inlineStr">
        <is>
          <t>No research activities recorded</t>
        </is>
      </c>
      <c r="I42" s="4" t="inlineStr">
        <is>
          <t>Engagement (email/meetings): 100.0h; Personal development: 75.0h (FTE: 1.00)</t>
        </is>
      </c>
      <c r="J42" s="5" t="inlineStr">
        <is>
          <t>None</t>
        </is>
      </c>
      <c r="K42" s="5" t="inlineStr">
        <is>
          <t>No administrative roles assigned</t>
        </is>
      </c>
    </row>
    <row r="43">
      <c r="A43" s="2" t="inlineStr">
        <is>
          <t>Roberto Metere</t>
        </is>
      </c>
      <c r="B43" s="2" t="n">
        <v>1</v>
      </c>
      <c r="C43" s="3" t="n">
        <v>845.1946666666666</v>
      </c>
      <c r="D43" s="3" t="n">
        <v>401.9946666666667</v>
      </c>
      <c r="E43" s="3" t="n">
        <v>268.2</v>
      </c>
      <c r="F43" s="3" t="n">
        <v>175</v>
      </c>
      <c r="G43" s="4" t="inlineStr">
        <is>
          <t>CBDA (20cr): Roberto Metere: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CTAP (20cr): Roberto Metere: Standard (2.5x): 0.0h/teacher @ 2.5x; First time delivery: 1 sessions/week @ 3.0h each; - Standard lecturers: 2.5x first session (standard), 1.5x repeats; First time delivery: 1 sessions/week @ 3.0h each; - Standard lecturers: 2.5x first session (standard), 1.5x repeats;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Project setting (fixed): 6.0h; Pastoral: 20 students x 3h = 60.0h; Projects: 7 projects x UG (16h) = 112.0h</t>
        </is>
      </c>
      <c r="H43" s="4" t="inlineStr">
        <is>
          <t>PhD supervision: 2x part-time PhD student × 48h/FTE; 1x assessor (8h each) = 104.0h</t>
        </is>
      </c>
      <c r="I43" s="4" t="inlineStr">
        <is>
          <t>StAMP committee members: 0% of 1642h = 0.0h; Engagement (email/meetings): 100.0h; Personal development: 75.0h (FTE: 1.00)</t>
        </is>
      </c>
      <c r="J43" s="5" t="inlineStr">
        <is>
          <t>None</t>
        </is>
      </c>
      <c r="K43" s="5" t="inlineStr">
        <is>
          <t>None</t>
        </is>
      </c>
    </row>
    <row r="44">
      <c r="A44" s="2" t="inlineStr">
        <is>
          <t>Sam Braunstein</t>
        </is>
      </c>
      <c r="B44" s="2" t="n">
        <v>1</v>
      </c>
      <c r="C44" s="3" t="n">
        <v>587.9406666666666</v>
      </c>
      <c r="D44" s="3" t="n">
        <v>248.7406666666667</v>
      </c>
      <c r="E44" s="3" t="n">
        <v>164.2</v>
      </c>
      <c r="F44" s="3" t="n">
        <v>175</v>
      </c>
      <c r="G44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Project setting (fixed): 6.0h; Pastoral: 4 students x 3h = 12.0h; Projects: 7 projects x UG (16h) = 112.0h</t>
        </is>
      </c>
      <c r="H44" s="4" t="inlineStr">
        <is>
          <t>No research activities recorded</t>
        </is>
      </c>
      <c r="I44" s="4" t="inlineStr">
        <is>
          <t>Engagement (email/meetings): 100.0h; Personal development: 75.0h (FTE: 1.00)</t>
        </is>
      </c>
      <c r="J44" s="5" t="inlineStr">
        <is>
          <t>None</t>
        </is>
      </c>
      <c r="K44" s="5" t="inlineStr">
        <is>
          <t>No administrative roles assigned</t>
        </is>
      </c>
    </row>
    <row r="45">
      <c r="A45" s="2" t="inlineStr">
        <is>
          <t>Siamak Shahandashti</t>
        </is>
      </c>
      <c r="B45" s="2" t="n">
        <v>1</v>
      </c>
      <c r="C45" s="3" t="n">
        <v>1114.138666666667</v>
      </c>
      <c r="D45" s="3" t="n">
        <v>296.6386666666667</v>
      </c>
      <c r="E45" s="3" t="n">
        <v>478.3</v>
      </c>
      <c r="F45" s="3" t="n">
        <v>339.2</v>
      </c>
      <c r="G45" s="4" t="inlineStr">
        <is>
          <t>CTAP (20cr): Siamak Shahandashti: Standard (2.5x): 0.0h/teacher @ 2.5x; First time delivery: 1 sessions/week @ 3.0h each; - Standard lecturers: 2.5x first session (standard), 1.5x repeats; First time delivery: 1 sessions/week @ 3.0h each; - Standard lecturers: 2.5x first session (standard), 1.5x repeats;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New setter (15h/assess, manual): 2.5h main + 2.5h resit = 7.5h; Standard (15h/assess, manual): 2.5h main + 2.5h resit = 5.0h; Standard (15h/assess, manual): 2.5h main + 2.5h resit = 5.0h; Project setting (fixed): 6.0h; Pastoral: 17 students x 3h = 51.0h; Projects: 7 projects x UG (16h) = 112.0h</t>
        </is>
      </c>
      <c r="H45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5" s="4" t="inlineStr">
        <is>
          <t>Deputy Graduate Chair: 10% of 1642h = 164.2h;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</row>
    <row r="46">
      <c r="A46" s="2" t="inlineStr">
        <is>
          <t>Simon Foster</t>
        </is>
      </c>
      <c r="B46" s="2" t="n">
        <v>1</v>
      </c>
      <c r="C46" s="3" t="n">
        <v>733.74</v>
      </c>
      <c r="D46" s="3" t="n">
        <v>282.54</v>
      </c>
      <c r="E46" s="3" t="n">
        <v>276.2</v>
      </c>
      <c r="F46" s="3" t="n">
        <v>175</v>
      </c>
      <c r="G46" s="4" t="inlineStr">
        <is>
          <t>THE1 (20cr): Simon Foster: New lecturer (5.0x): 0.0h base @ 2.5x + 0.0h content dev;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First time delivery: 1 sessions/week @ 1.0h each; - Standard lecturers: 2.5x first session (standard), 1.5x repeats; Standard (15h/assess, manual): 5.0h main + 5.0h resit = 10.0h; Standard (15h/assess, manual): 5.0h main + 5.0h resit = 10.0h; New setter (15h/assess, manual): 5.0h main + 5.0h resit = 15.0h; Project setting (fixed): 6.0h; Pastoral: 11 students x 3h = 33.0h; Projects: 4 projects x UG (16h) = 64.0h</t>
        </is>
      </c>
      <c r="H46" s="4" t="inlineStr">
        <is>
          <t>PhD supervision: 2x part-time PhD student × 48h/FTE; 2x assessor (8h each) = 112.0h</t>
        </is>
      </c>
      <c r="I46" s="4" t="inlineStr">
        <is>
          <t>Engagement (email/meetings): 100.0h; Personal development: 75.0h (FTE: 1.00)</t>
        </is>
      </c>
      <c r="J46" s="5" t="inlineStr">
        <is>
          <t>None</t>
        </is>
      </c>
      <c r="K46" s="5" t="inlineStr">
        <is>
          <t>No administrative roles assigned</t>
        </is>
      </c>
    </row>
    <row r="47">
      <c r="A47" s="2" t="inlineStr">
        <is>
          <t>Soumya Banerjee</t>
        </is>
      </c>
      <c r="B47" s="2" t="n">
        <v>1</v>
      </c>
      <c r="C47" s="3" t="n">
        <v>659.9613333333333</v>
      </c>
      <c r="D47" s="3" t="n">
        <v>320.7613333333333</v>
      </c>
      <c r="E47" s="3" t="n">
        <v>164.2</v>
      </c>
      <c r="F47" s="3" t="n">
        <v>175</v>
      </c>
      <c r="G47" s="4" t="inlineStr">
        <is>
          <t>AURO (20cr): Soumya Banerjee: New lecturer (5.0x): 0.0h base @ 2.5x + 0.0h content dev; Standard (15h/assess, manual): 2.5h main + 2.5h resit = 5.0h; Standard (15h/assess, manual): 2.5h main + 2.5h resit = 5.0h; New setter (15h/assess, manual): 2.5h main + 2.5h resit = 7.5h; ELLA (20cr): Soumya Banerjee: New lecturer (5.0x): 0.0h base @ 2.5x + 0.0h content dev; First time delivery: 1 sessions/week @ 2.0h each; - Standard lecturers: 2.5x first session (standard), 1.5x repeats; First time delivery: 1 sessions/week @ 2.0h each; - Standard lecturers: 2.5x first session (standard), 1.5x repeats; New setter (15h/assess, manual): 2.5h main + 2.5h resit = 7.5h; Standard (15h/assess, manual): 2.5h main + 2.5h resit = 5.0h; New setter (15h/assess, manual): 2.5h main + 2.5h resit = 7.5h; Project setting (fixed): 6.0h; Pastoral: 25 students x 3h = 75.0h; Projects: 7 projects x UG (16h) = 112.0h</t>
        </is>
      </c>
      <c r="H47" s="4" t="inlineStr">
        <is>
          <t>No research activities recorded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Stefano Pirandola</t>
        </is>
      </c>
      <c r="B48" s="2" t="n">
        <v>1</v>
      </c>
      <c r="C48" s="3" t="n">
        <v>1188.798</v>
      </c>
      <c r="D48" s="3" t="n">
        <v>247.098</v>
      </c>
      <c r="E48" s="3" t="n">
        <v>520.4000000000001</v>
      </c>
      <c r="F48" s="3" t="n">
        <v>421.3</v>
      </c>
      <c r="G48" s="4" t="inlineStr">
        <is>
          <t>QUCO (20cr): Stefano Pirandola: Standard (2.5x): 0.0h/teacher @ 2.5x; Standard (15h/assess, manual): 3.8h main + 3.8h resit = 7.5h; Standard (15h/assess, manual): 3.8h main + 3.8h resit = 7.5h; Project setting (fixed): 6.0h; Pastoral: 25 students x 3h = 75.0h; Projects: 7 projects x UG (16h) = 112.0h</t>
        </is>
      </c>
      <c r="H48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8" s="4" t="inlineStr">
        <is>
          <t>Progression Panel Chair: 15% of 1642h = 246.3h;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</row>
    <row r="49">
      <c r="A49" s="2" t="inlineStr">
        <is>
          <t>Steven Wright</t>
        </is>
      </c>
      <c r="B49" s="2" t="n">
        <v>1</v>
      </c>
      <c r="C49" s="3" t="n">
        <v>815.976</v>
      </c>
      <c r="D49" s="3" t="n">
        <v>188.776</v>
      </c>
      <c r="E49" s="3" t="n">
        <v>452.2</v>
      </c>
      <c r="F49" s="3" t="n">
        <v>175</v>
      </c>
      <c r="G49" s="4" t="inlineStr">
        <is>
          <t>HIPC (20cr): Steven Wright: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14 students x 3h = 42.0h; Projects: 4 projects x UG (16h) = 64.0h</t>
        </is>
      </c>
      <c r="H49" s="4" t="inlineStr">
        <is>
          <t>PhD supervision: 3x full-time PhD student × 80h/FTE; 1x part-time PhD student × 48h/FTE = 288.0h</t>
        </is>
      </c>
      <c r="I49" s="4" t="inlineStr">
        <is>
          <t>Chair of the Board of Examiners: 0% of 1642h = 0.0h;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Xiaotian Dai</t>
        </is>
      </c>
      <c r="B50" s="2" t="n">
        <v>1</v>
      </c>
      <c r="C50" s="3" t="n">
        <v>1107.886</v>
      </c>
      <c r="D50" s="3" t="n">
        <v>254.186</v>
      </c>
      <c r="E50" s="3" t="n">
        <v>350.3</v>
      </c>
      <c r="F50" s="3" t="n">
        <v>503.4</v>
      </c>
      <c r="G50" s="4" t="inlineStr">
        <is>
          <t>EMBS (20cr): Steven Xiaotian Dai: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HIPC (20cr): Steven Xiaotian Dai: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15 students x 3h = 45.0h; Projects: 4 projects x UG (16h) = 64.0h</t>
        </is>
      </c>
      <c r="H50" s="4" t="inlineStr">
        <is>
          <t>PhD supervision: 2x part-time PhD student × 48h/FTE; 1x assessor (8h each) = 104.0h; Grant SCHEME: 5% of 1642h = 82.1h</t>
        </is>
      </c>
      <c r="I50" s="4" t="inlineStr">
        <is>
          <t>Student Disability Representative: 20% of 1642h = 328.4h;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Tommy Yuan</t>
        </is>
      </c>
      <c r="B51" s="2" t="n">
        <v>1</v>
      </c>
      <c r="C51" s="3" t="n">
        <v>1180.413333333333</v>
      </c>
      <c r="D51" s="3" t="n">
        <v>477.0133333333333</v>
      </c>
      <c r="E51" s="3" t="n">
        <v>364.2</v>
      </c>
      <c r="F51" s="3" t="n">
        <v>339.2</v>
      </c>
      <c r="G51" s="4" t="inlineStr">
        <is>
          <t>ARIA (20cr): Tommy Yuan: Existing lecturer + new content (5.0x):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5.0h main + 5.0h resit = 10.0h; New setter (15h/assess, manual): 5.0h main + 5.0h resit = 15.0h; Standard (15h/assess, manual): 5.0h main + 5.0h resit = 10.0h; FOAM (20cr): Tommy Yuan: Existing lecturer + new content (5.0x): 0.0h base @ 2.5x + 0.0h content dev; Standard (15h/assess, manual): 3.8h main + 3.8h resit = 7.5h; Standard (15h/assess, manual): 3.8h main + 3.8h resit = 7.5h; Project setting (fixed): 6.0h; Pastoral: 18 students x 3h = 54.0h; Projects: 9 projects x UG (16h) = 144.0h</t>
        </is>
      </c>
      <c r="H51" s="4" t="inlineStr">
        <is>
          <t>PhD supervision: 1x full-time PhD student × 80h/FTE; 2x part-time PhD student × 48h/FTE; 3x assessor (8h each) = 200.0h</t>
        </is>
      </c>
      <c r="I51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Vasileios Vasilakis</t>
        </is>
      </c>
      <c r="B52" s="2" t="n">
        <v>1</v>
      </c>
      <c r="C52" s="3" t="n">
        <v>965.2940000000001</v>
      </c>
      <c r="D52" s="3" t="n">
        <v>269.894</v>
      </c>
      <c r="E52" s="3" t="n">
        <v>356.2</v>
      </c>
      <c r="F52" s="3" t="n">
        <v>339.2</v>
      </c>
      <c r="G52" s="4" t="inlineStr">
        <is>
          <t>NETS (20cr): Vasileios Vasilakis: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26 students x 3h = 78.0h; Projects: 7 projects x UG (16h) = 112.0h</t>
        </is>
      </c>
      <c r="H52" s="4" t="inlineStr">
        <is>
          <t>PhD supervision: 1x full-time PhD student × 80h/FTE; 2x part-time PhD student × 48h/FTE; 2x assessor (8h each) = 192.0h</t>
        </is>
      </c>
      <c r="I52" s="4" t="inlineStr">
        <is>
          <t>Deputy CBoEs: 10% of 1642h = 164.2h;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William Smith</t>
        </is>
      </c>
      <c r="B53" s="2" t="n">
        <v>1</v>
      </c>
      <c r="C53" s="3" t="n">
        <v>1250.326</v>
      </c>
      <c r="D53" s="3" t="n">
        <v>275.976</v>
      </c>
      <c r="E53" s="3" t="n">
        <v>676.2</v>
      </c>
      <c r="F53" s="3" t="n">
        <v>298.15</v>
      </c>
      <c r="G53" s="4" t="inlineStr">
        <is>
          <t>DEEP (20cr): William Smith: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New setter (15h/assess, manual): 3.8h main + 3.8h resit = 11.2h; ROCS (20cr): William Smith: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Project setting (fixed): 6.0h; Pastoral: 7 students x 3h = 21.0h; Projects: 5 projects x UG (16h) = 80.0h</t>
        </is>
      </c>
      <c r="H53" s="4" t="inlineStr">
        <is>
          <t>PhD supervision: 4x full-time PhD student × 80h/FTE; 3x part-time PhD student × 48h/FTE; 6x assessor (8h each) = 512.0h</t>
        </is>
      </c>
      <c r="I53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Xinwei Fang</t>
        </is>
      </c>
      <c r="B54" s="2" t="n">
        <v>1</v>
      </c>
      <c r="C54" s="3" t="n">
        <v>875.5880000000001</v>
      </c>
      <c r="D54" s="3" t="n">
        <v>374.288</v>
      </c>
      <c r="E54" s="3" t="n">
        <v>244.2</v>
      </c>
      <c r="F54" s="3" t="n">
        <v>257.1</v>
      </c>
      <c r="G54" s="4" t="inlineStr">
        <is>
          <t>DATA (20cr): Xinwei Fang: Standard (2.5x): 0.0h/teacher @ 2.5x;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Project setting (fixed): 6.0h; Pastoral: 9 students x 3h = 27.0h; Projects: 7 projects x UG (16h) = 112.0h</t>
        </is>
      </c>
      <c r="H54" s="4" t="inlineStr">
        <is>
          <t>PhD supervision: 1x full-time PhD student × 80h/FTE = 80.0h</t>
        </is>
      </c>
      <c r="I54" s="4" t="inlineStr">
        <is>
          <t>Other PLs: 5% of 1642h = 82.1h;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Yan Jia</t>
        </is>
      </c>
      <c r="B55" s="2" t="n">
        <v>1</v>
      </c>
      <c r="C55" s="3" t="n">
        <v>919.436</v>
      </c>
      <c r="D55" s="3" t="n">
        <v>105.736</v>
      </c>
      <c r="E55" s="3" t="n">
        <v>638.7</v>
      </c>
      <c r="F55" s="3" t="n">
        <v>175</v>
      </c>
      <c r="G55" s="4" t="inlineStr">
        <is>
          <t>ROCS (20cr): Yan Jia: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5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</row>
    <row r="56">
      <c r="A56" s="2" t="inlineStr">
        <is>
          <t>Yuchen Zhao</t>
        </is>
      </c>
      <c r="B56" s="2" t="n">
        <v>1</v>
      </c>
      <c r="C56" s="3" t="n">
        <v>777.782</v>
      </c>
      <c r="D56" s="3" t="n">
        <v>340.482</v>
      </c>
      <c r="E56" s="3" t="n">
        <v>180.2</v>
      </c>
      <c r="F56" s="3" t="n">
        <v>257.1</v>
      </c>
      <c r="G56" s="4" t="inlineStr">
        <is>
          <t>EHAC (20cr): Yuchen Zhao: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7.5h main + 7.5h resit = 15.0h; Standard (15h/assess, manual): 7.5h main + 7.5h resit = 15.0h; NETS (20cr): Yuchen Zhao: Standard (2.5x): 0.0h/teacher @ 2.5x; First time delivery: 1 sessions/week @ 2.0h each; - Standard lecturers: 2.5x first session (standard), 1.5x repeats; First time delivery: 1 sessions/week @ 2.0h each; - Standard lecturers: 2.5x first session (standard), 1.5x repeats; Standard (15h/assess, manual): 3.8h main + 3.8h resit = 7.5h; Standard (15h/assess, manual): 3.8h main + 3.8h resit = 7.5h; Project setting (fixed): 6.0h; Pastoral: 25 students x 3h = 75.0h; Projects: 7 projects x UG (16h) = 112.0h</t>
        </is>
      </c>
      <c r="H56" s="4" t="inlineStr">
        <is>
          <t>PhD supervision: 2x assessor (8h each) = 16.0h</t>
        </is>
      </c>
      <c r="I56" s="4" t="inlineStr">
        <is>
          <t>Other PLs: 5% of 1642h = 82.1h;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314.3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316.014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201.5373333333333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425.5866666666666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192.9533333333333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314.5026666666666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439.6973333333333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225.734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180.4613333333333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228.8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311.8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379.2933333333334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333.1253333333333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266.3</v>
      </c>
      <c r="C15" s="7" t="n">
        <v>620.2</v>
      </c>
      <c r="D15" s="7" t="n">
        <v>339.2</v>
      </c>
      <c r="E15" s="7">
        <f>SUM(B15:D15)</f>
        <v/>
      </c>
    </row>
    <row r="16">
      <c r="A16" t="inlineStr">
        <is>
          <t>Dimitris Kolovos</t>
        </is>
      </c>
      <c r="B16" s="7" t="n">
        <v>38.08666666666667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277.612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52.18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65.05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62.41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361.1573333333333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400.79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277.4613333333333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295.55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267.954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286.818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374.9373333333333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330.2933333333334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320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446.5866666666666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127.306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194.724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187.6213333333333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259.9173333333333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185.3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367.28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Poonam Yadav</t>
        </is>
      </c>
      <c r="B38" s="7" t="n">
        <v>213.8306666666667</v>
      </c>
      <c r="C38" s="7" t="n">
        <v>1112.8</v>
      </c>
      <c r="D38" s="7" t="n">
        <v>339.2</v>
      </c>
      <c r="E38" s="7">
        <f>SUM(B38:D38)</f>
        <v/>
      </c>
    </row>
    <row r="39">
      <c r="A39" t="inlineStr">
        <is>
          <t>Pourya Shamsolmoali</t>
        </is>
      </c>
      <c r="B39" s="7" t="n">
        <v>315.5693333333334</v>
      </c>
      <c r="C39" s="7" t="n">
        <v>228.2</v>
      </c>
      <c r="D39" s="7" t="n">
        <v>298.15</v>
      </c>
      <c r="E39" s="7">
        <f>SUM(B39:D39)</f>
        <v/>
      </c>
    </row>
    <row r="40">
      <c r="A40" t="inlineStr">
        <is>
          <t>Radu Calinescu</t>
        </is>
      </c>
      <c r="B40" s="7" t="n">
        <v>144.18</v>
      </c>
      <c r="C40" s="7" t="n">
        <v>918.7</v>
      </c>
      <c r="D40" s="7" t="n">
        <v>175</v>
      </c>
      <c r="E40" s="7">
        <f>SUM(B40:D40)</f>
        <v/>
      </c>
    </row>
    <row r="41">
      <c r="A41" t="inlineStr">
        <is>
          <t>Rob Alexander</t>
        </is>
      </c>
      <c r="B41" s="7" t="n">
        <v>213.734</v>
      </c>
      <c r="C41" s="7" t="n">
        <v>398.3</v>
      </c>
      <c r="D41" s="7" t="n">
        <v>175</v>
      </c>
      <c r="E41" s="7">
        <f>SUM(B41:D41)</f>
        <v/>
      </c>
    </row>
    <row r="42">
      <c r="A42" t="inlineStr">
        <is>
          <t>Robbert Jongeling</t>
        </is>
      </c>
      <c r="B42" s="7" t="n">
        <v>228.28</v>
      </c>
      <c r="C42" s="7" t="n">
        <v>164.2</v>
      </c>
      <c r="D42" s="7" t="n">
        <v>175</v>
      </c>
      <c r="E42" s="7">
        <f>SUM(B42:D42)</f>
        <v/>
      </c>
    </row>
    <row r="43">
      <c r="A43" t="inlineStr">
        <is>
          <t>Roberto Metere</t>
        </is>
      </c>
      <c r="B43" s="7" t="n">
        <v>401.9946666666667</v>
      </c>
      <c r="C43" s="7" t="n">
        <v>268.2</v>
      </c>
      <c r="D43" s="7" t="n">
        <v>175</v>
      </c>
      <c r="E43" s="7">
        <f>SUM(B43:D43)</f>
        <v/>
      </c>
    </row>
    <row r="44">
      <c r="A44" t="inlineStr">
        <is>
          <t>Sam Braunstein</t>
        </is>
      </c>
      <c r="B44" s="7" t="n">
        <v>248.7406666666667</v>
      </c>
      <c r="C44" s="7" t="n">
        <v>164.2</v>
      </c>
      <c r="D44" s="7" t="n">
        <v>175</v>
      </c>
      <c r="E44" s="7">
        <f>SUM(B44:D44)</f>
        <v/>
      </c>
    </row>
    <row r="45">
      <c r="A45" t="inlineStr">
        <is>
          <t>Siamak Shahandashti</t>
        </is>
      </c>
      <c r="B45" s="7" t="n">
        <v>296.6386666666667</v>
      </c>
      <c r="C45" s="7" t="n">
        <v>478.3</v>
      </c>
      <c r="D45" s="7" t="n">
        <v>339.2</v>
      </c>
      <c r="E45" s="7">
        <f>SUM(B45:D45)</f>
        <v/>
      </c>
    </row>
    <row r="46">
      <c r="A46" t="inlineStr">
        <is>
          <t>Simon Foster</t>
        </is>
      </c>
      <c r="B46" s="7" t="n">
        <v>282.54</v>
      </c>
      <c r="C46" s="7" t="n">
        <v>276.2</v>
      </c>
      <c r="D46" s="7" t="n">
        <v>175</v>
      </c>
      <c r="E46" s="7">
        <f>SUM(B46:D46)</f>
        <v/>
      </c>
    </row>
    <row r="47">
      <c r="A47" t="inlineStr">
        <is>
          <t>Soumya Banerjee</t>
        </is>
      </c>
      <c r="B47" s="7" t="n">
        <v>320.7613333333333</v>
      </c>
      <c r="C47" s="7" t="n">
        <v>164.2</v>
      </c>
      <c r="D47" s="7" t="n">
        <v>175</v>
      </c>
      <c r="E47" s="7">
        <f>SUM(B47:D47)</f>
        <v/>
      </c>
    </row>
    <row r="48">
      <c r="A48" t="inlineStr">
        <is>
          <t>Stefano Pirandola</t>
        </is>
      </c>
      <c r="B48" s="7" t="n">
        <v>247.098</v>
      </c>
      <c r="C48" s="7" t="n">
        <v>520.4000000000001</v>
      </c>
      <c r="D48" s="7" t="n">
        <v>421.3</v>
      </c>
      <c r="E48" s="7">
        <f>SUM(B48:D48)</f>
        <v/>
      </c>
    </row>
    <row r="49">
      <c r="A49" t="inlineStr">
        <is>
          <t>Steven Wright</t>
        </is>
      </c>
      <c r="B49" s="7" t="n">
        <v>188.776</v>
      </c>
      <c r="C49" s="7" t="n">
        <v>452.2</v>
      </c>
      <c r="D49" s="7" t="n">
        <v>175</v>
      </c>
      <c r="E49" s="7">
        <f>SUM(B49:D49)</f>
        <v/>
      </c>
    </row>
    <row r="50">
      <c r="A50" t="inlineStr">
        <is>
          <t>Steven Xiaotian Dai</t>
        </is>
      </c>
      <c r="B50" s="7" t="n">
        <v>254.186</v>
      </c>
      <c r="C50" s="7" t="n">
        <v>350.3</v>
      </c>
      <c r="D50" s="7" t="n">
        <v>503.4</v>
      </c>
      <c r="E50" s="7">
        <f>SUM(B50:D50)</f>
        <v/>
      </c>
    </row>
    <row r="51">
      <c r="A51" t="inlineStr">
        <is>
          <t>Tommy Yuan</t>
        </is>
      </c>
      <c r="B51" s="7" t="n">
        <v>477.0133333333333</v>
      </c>
      <c r="C51" s="7" t="n">
        <v>364.2</v>
      </c>
      <c r="D51" s="7" t="n">
        <v>339.2</v>
      </c>
      <c r="E51" s="7">
        <f>SUM(B51:D51)</f>
        <v/>
      </c>
    </row>
    <row r="52">
      <c r="A52" t="inlineStr">
        <is>
          <t>Vasileios Vasilakis</t>
        </is>
      </c>
      <c r="B52" s="7" t="n">
        <v>269.894</v>
      </c>
      <c r="C52" s="7" t="n">
        <v>356.2</v>
      </c>
      <c r="D52" s="7" t="n">
        <v>339.2</v>
      </c>
      <c r="E52" s="7">
        <f>SUM(B52:D52)</f>
        <v/>
      </c>
    </row>
    <row r="53">
      <c r="A53" t="inlineStr">
        <is>
          <t>William Smith</t>
        </is>
      </c>
      <c r="B53" s="7" t="n">
        <v>275.976</v>
      </c>
      <c r="C53" s="7" t="n">
        <v>676.2</v>
      </c>
      <c r="D53" s="7" t="n">
        <v>298.15</v>
      </c>
      <c r="E53" s="7">
        <f>SUM(B53:D53)</f>
        <v/>
      </c>
    </row>
    <row r="54">
      <c r="A54" t="inlineStr">
        <is>
          <t>Xinwei Fang</t>
        </is>
      </c>
      <c r="B54" s="7" t="n">
        <v>374.288</v>
      </c>
      <c r="C54" s="7" t="n">
        <v>244.2</v>
      </c>
      <c r="D54" s="7" t="n">
        <v>257.1</v>
      </c>
      <c r="E54" s="7">
        <f>SUM(B54:D54)</f>
        <v/>
      </c>
    </row>
    <row r="55">
      <c r="A55" t="inlineStr">
        <is>
          <t>Yan Jia</t>
        </is>
      </c>
      <c r="B55" s="7" t="n">
        <v>105.736</v>
      </c>
      <c r="C55" s="7" t="n">
        <v>638.7</v>
      </c>
      <c r="D55" s="7" t="n">
        <v>175</v>
      </c>
      <c r="E55" s="7">
        <f>SUM(B55:D55)</f>
        <v/>
      </c>
    </row>
    <row r="56">
      <c r="A56" t="inlineStr">
        <is>
          <t>Yuchen Zhao</t>
        </is>
      </c>
      <c r="B56" s="7" t="n">
        <v>340.482</v>
      </c>
      <c r="C56" s="7" t="n">
        <v>180.2</v>
      </c>
      <c r="D56" s="7" t="n">
        <v>257.1</v>
      </c>
      <c r="E56" s="7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2026-08-10T11:42:45Z</dcterms:created>
  <dcterms:modified xmlns:dcterms="http://purl.org/dc/terms/" xmlns:xsi="http://www.w3.org/2001/XMLSchema-instance" xsi:type="dcterms:W3CDTF">2026-08-10T11:42:45Z</dcterms:modified>
</cp:coreProperties>
</file>