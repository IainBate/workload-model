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Workload'!$D$2:$D$67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Workload'!$E$2:$E$67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Workload'!$A$2:$A$67</f>
            </strRef>
          </cat>
          <val>
            <numRef>
              <f>'Staff Workload'!$F$2:$F$67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Breakdown'!$B$2:$B$67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Breakdown'!$C$2:$C$67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Breakdown'!$A$2:$A$67</f>
            </strRef>
          </cat>
          <val>
            <numRef>
              <f>'Detailed Breakdown'!$D$2:$D$67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1096.8</v>
      </c>
      <c r="D2" s="3" t="n">
        <v>427.5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1298.6</v>
      </c>
      <c r="D3" s="3" t="n">
        <v>351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911.2333333333333</v>
      </c>
      <c r="D4" s="3" t="n">
        <v>303.8333333333333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887.4000000000001</v>
      </c>
      <c r="D5" s="3" t="n">
        <v>0</v>
      </c>
      <c r="E5" s="3" t="n">
        <v>548.2</v>
      </c>
      <c r="F5" s="3" t="n">
        <v>339.2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10% of 1642h = 164.2h; Engagement (email/meetings): 100.0h; Personal development: 75.0h (FTE: 1.00)</t>
        </is>
      </c>
      <c r="J5" s="5" t="inlineStr">
        <is>
          <t>Invalid FTE value for grant: '?'; Invalid FTE value for grant: '?'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880.9333333333333</v>
      </c>
      <c r="D6" s="3" t="n">
        <v>459.6333333333333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MOSAICO: 10% of 1642h = 164.2h; Grant SCHEME: 10%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1030.933333333333</v>
      </c>
      <c r="D8" s="3" t="n">
        <v>423.5333333333333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460.5466666666667</v>
      </c>
      <c r="D11" s="3" t="n">
        <v>212.8666666666667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3 projects x UG (16h) = 48.0h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1156.16</v>
      </c>
      <c r="D12" s="3" t="n">
        <v>401.4</v>
      </c>
      <c r="E12" s="3" t="n">
        <v>579.76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7 projects x UG (16h) = 112.0h;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657.0333333333333</v>
      </c>
      <c r="D13" s="3" t="n">
        <v>317.8333333333334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784</v>
      </c>
      <c r="D15" s="3" t="n">
        <v>444.8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1168.983333333333</v>
      </c>
      <c r="D16" s="3" t="n">
        <v>405.3833333333333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7 projects x UG (16h) = 112.0h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1537.14</v>
      </c>
      <c r="D18" s="3" t="n">
        <v>50.2</v>
      </c>
      <c r="E18" s="3" t="n">
        <v>1114.9</v>
      </c>
      <c r="F18" s="3" t="n">
        <v>372.04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8" s="4" t="inlineStr">
        <is>
          <t>Research Group Leader: 10% of 1642h = 164.2h;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553.5999999999999</v>
      </c>
      <c r="D19" s="3" t="n">
        <v>214.4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2143.186666666667</v>
      </c>
      <c r="D21" s="3" t="n">
        <v>91.66666666666666</v>
      </c>
      <c r="E21" s="3" t="n">
        <v>1794.42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2435.6</v>
      </c>
      <c r="D22" s="3" t="n">
        <v>30</v>
      </c>
      <c r="E22" s="3" t="n">
        <v>588.6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96.0h; Grant SCHEME: 20% of 1642h = 328.4h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Ibrahim Habli</t>
        </is>
      </c>
      <c r="B24" s="2" t="n">
        <v>1</v>
      </c>
      <c r="C24" s="3" t="n">
        <v>1670.5</v>
      </c>
      <c r="D24" s="3" t="n">
        <v>0</v>
      </c>
      <c r="E24" s="3" t="n">
        <v>1495.5</v>
      </c>
      <c r="F24" s="3" t="n">
        <v>175</v>
      </c>
      <c r="G24" s="4" t="inlineStr">
        <is>
          <t>; Also teaches: Foundations of Safe AI (Safe AI 1) (SAINTS - not included in workload)</t>
        </is>
      </c>
      <c r="H24" s="4" t="inlineStr">
        <is>
          <t>PhD supervision: 2x full-time PhD student × 80h/FTE; 2x part-time PhD student × 48h/FTE; 1x assessor (8h each) = 264.0h;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A STAR TO STEER BY: 5% of 1642h = 82.1h; Grant The Centre for Assuring Autonomy: 40% of 1642h = 656.8h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Jacob Rigby</t>
        </is>
      </c>
      <c r="B25" s="2" t="n">
        <v>1</v>
      </c>
      <c r="C25" s="3" t="n">
        <v>828.7333333333333</v>
      </c>
      <c r="D25" s="3" t="n">
        <v>243.2333333333333</v>
      </c>
      <c r="E25" s="3" t="n">
        <v>246.3</v>
      </c>
      <c r="F25" s="3" t="n">
        <v>339.2</v>
      </c>
      <c r="G25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5" s="4" t="inlineStr">
        <is>
          <t>Grant EPSRC: Addressing environmental injustices through transdisciplinary science and technology: 5% of 1642h = 82.1h</t>
        </is>
      </c>
      <c r="I25" s="4" t="inlineStr">
        <is>
          <t>Taught Project Coordinator: 10% of 1642h = 164.2h;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Stovold</t>
        </is>
      </c>
      <c r="B26" s="2" t="n">
        <v>1</v>
      </c>
      <c r="C26" s="3" t="n">
        <v>828.8000000000001</v>
      </c>
      <c r="D26" s="3" t="n">
        <v>407.5</v>
      </c>
      <c r="E26" s="3" t="n">
        <v>164.2</v>
      </c>
      <c r="F26" s="3" t="n">
        <v>257.1</v>
      </c>
      <c r="G26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75.0h; Projects: 7 projects x UG (16h) = 112.0h</t>
        </is>
      </c>
      <c r="H26" s="4" t="inlineStr">
        <is>
          <t>No research activities recorded</t>
        </is>
      </c>
      <c r="I26" s="4" t="inlineStr">
        <is>
          <t>Academic Admissions Team: 5% of 1642h = 82.1h;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James Walker</t>
        </is>
      </c>
      <c r="B27" s="2" t="n">
        <v>1</v>
      </c>
      <c r="C27" s="3" t="n">
        <v>1485.666666666667</v>
      </c>
      <c r="D27" s="3" t="n">
        <v>309.8666666666667</v>
      </c>
      <c r="E27" s="3" t="n">
        <v>1000.8</v>
      </c>
      <c r="F27" s="3" t="n">
        <v>175</v>
      </c>
      <c r="G27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7 projects x UG (16h) = 112.0h</t>
        </is>
      </c>
      <c r="H27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7" s="4" t="inlineStr">
        <is>
          <t>Engagement (email/meetings): 100.0h; Personal development: 75.0h (FTE: 1.00)</t>
        </is>
      </c>
      <c r="J27" s="5" t="inlineStr">
        <is>
          <t>None</t>
        </is>
      </c>
      <c r="K27" s="5" t="inlineStr">
        <is>
          <t>No administrative roles assigned</t>
        </is>
      </c>
      <c r="L27" s="5" t="inlineStr">
        <is>
          <t>None</t>
        </is>
      </c>
    </row>
    <row r="28">
      <c r="A28" s="2" t="inlineStr">
        <is>
          <t>Jen Beeston</t>
        </is>
      </c>
      <c r="B28" s="2" t="n">
        <v>1</v>
      </c>
      <c r="C28" s="3" t="n">
        <v>1355.5</v>
      </c>
      <c r="D28" s="3" t="n">
        <v>355.7</v>
      </c>
      <c r="E28" s="3" t="n">
        <v>332.2</v>
      </c>
      <c r="F28" s="3" t="n">
        <v>667.5999999999999</v>
      </c>
      <c r="G28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8" s="4" t="inlineStr">
        <is>
          <t>PhD supervision: 3x part-time PhD student × 48h/FTE; 3x assessor (8h each) = 168.0h</t>
        </is>
      </c>
      <c r="I28" s="4" t="inlineStr">
        <is>
          <t>DEC Chair: 30% of 1642h = 492.6h;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 Iacovides</t>
        </is>
      </c>
      <c r="B29" s="2" t="n">
        <v>1</v>
      </c>
      <c r="C29" s="3" t="n">
        <v>985.1</v>
      </c>
      <c r="D29" s="3" t="n">
        <v>297.7</v>
      </c>
      <c r="E29" s="3" t="n">
        <v>348.2</v>
      </c>
      <c r="F29" s="3" t="n">
        <v>339.2</v>
      </c>
      <c r="G29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9" s="4" t="inlineStr">
        <is>
          <t>PhD supervision: 3x part-time PhD student × 48h/FTE; 5x assessor (8h each) = 184.0h</t>
        </is>
      </c>
      <c r="I29" s="4" t="inlineStr">
        <is>
          <t>Progression Panel: 10% of 1642h = 164.2h;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Joe Cutting</t>
        </is>
      </c>
      <c r="B30" s="2" t="n">
        <v>1</v>
      </c>
      <c r="C30" s="3" t="n">
        <v>750.3</v>
      </c>
      <c r="D30" s="3" t="n">
        <v>347.1</v>
      </c>
      <c r="E30" s="3" t="n">
        <v>228.2</v>
      </c>
      <c r="F30" s="3" t="n">
        <v>175</v>
      </c>
      <c r="G30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30" s="4" t="inlineStr">
        <is>
          <t>PhD supervision: 1x part-time PhD student × 48h/FTE; 2x assessor (8h each) = 64.0h</t>
        </is>
      </c>
      <c r="I30" s="4" t="inlineStr">
        <is>
          <t>ECR representative: 0% of 1642h = 0.0h;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John McDermid</t>
        </is>
      </c>
      <c r="B31" s="2" t="n">
        <v>1</v>
      </c>
      <c r="C31" s="3" t="n">
        <v>1878.9</v>
      </c>
      <c r="D31" s="3" t="n">
        <v>0</v>
      </c>
      <c r="E31" s="3" t="n">
        <v>1539.7</v>
      </c>
      <c r="F31" s="3" t="n">
        <v>339.2</v>
      </c>
      <c r="G31" s="4" t="inlineStr"/>
      <c r="H31" s="4" t="inlineStr">
        <is>
          <t>PhD supervision: 3x part-time PhD student × 48h/FTE = 144.0h; Grant Assessment of DSTA USVs and Continual Assurance of CI/CD for USVs: 5% of 1642h = 82.1h; Grant RAI UK: Safety &amp; Security Network (SSAIN): 20% of 1642h = 328.4h; Grant The Centre for Assuring Autonomy: 50% of 1642h = 821.0h</t>
        </is>
      </c>
      <c r="I31" s="4" t="inlineStr">
        <is>
          <t>Research Group Leader: 10% of 1642h = 164.2h;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Katrina Attwood</t>
        </is>
      </c>
      <c r="B32" s="2" t="n">
        <v>1</v>
      </c>
      <c r="C32" s="3" t="n">
        <v>1170.233333333333</v>
      </c>
      <c r="D32" s="3" t="n">
        <v>454.6333333333333</v>
      </c>
      <c r="E32" s="3" t="n">
        <v>212.2</v>
      </c>
      <c r="F32" s="3" t="n">
        <v>503.4</v>
      </c>
      <c r="G32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32" s="4" t="inlineStr">
        <is>
          <t>PhD supervision: 1x part-time PhD student × 48h/FTE = 48.0h</t>
        </is>
      </c>
      <c r="I32" s="4" t="inlineStr">
        <is>
          <t>Director of Students: 20% of 1642h = 328.4h;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Kofi Appiah</t>
        </is>
      </c>
      <c r="B33" s="2" t="n">
        <v>1</v>
      </c>
      <c r="C33" s="3" t="n">
        <v>1173.3</v>
      </c>
      <c r="D33" s="3" t="n">
        <v>395.8</v>
      </c>
      <c r="E33" s="3" t="n">
        <v>356.2</v>
      </c>
      <c r="F33" s="3" t="n">
        <v>421.3</v>
      </c>
      <c r="G33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33" s="4" t="inlineStr">
        <is>
          <t>PhD supervision: 1x full-time PhD student × 80h/FTE; 2x part-time PhD student × 48h/FTE; 2x assessor (8h each) = 192.0h</t>
        </is>
      </c>
      <c r="I33" s="4" t="inlineStr">
        <is>
          <t>Deputy Director of Admissions (UG Admissions): 15% of 1642h = 246.3h;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Kostas Barmpis</t>
        </is>
      </c>
      <c r="B34" s="2" t="n">
        <v>1</v>
      </c>
      <c r="C34" s="3" t="n">
        <v>1234.7</v>
      </c>
      <c r="D34" s="3" t="n">
        <v>429</v>
      </c>
      <c r="E34" s="3" t="n">
        <v>548.6</v>
      </c>
      <c r="F34" s="3" t="n">
        <v>257.1</v>
      </c>
      <c r="G34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4" s="4" t="inlineStr">
        <is>
          <t>PhD supervision: 1x part-time PhD student × 48h/FTE; 1x assessor (8h each) = 56.0h; Grant MOSAICO: 10% of 1642h = 164.2h; Grant SCHEME: 10% of 1642h = 164.2h</t>
        </is>
      </c>
      <c r="I34" s="4" t="inlineStr">
        <is>
          <t>PGR Training Officer: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Nicholson</t>
        </is>
      </c>
      <c r="B35" s="2" t="n">
        <v>0.8</v>
      </c>
      <c r="C35" s="3" t="n">
        <v>734.6039999999999</v>
      </c>
      <c r="D35" s="3" t="n">
        <v>314.7</v>
      </c>
      <c r="E35" s="3" t="n">
        <v>227.36</v>
      </c>
      <c r="F35" s="3" t="n">
        <v>192.544</v>
      </c>
      <c r="G35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8 projects x MSc (24h) = 192.0h</t>
        </is>
      </c>
      <c r="H35" s="4" t="inlineStr">
        <is>
          <t>PhD supervision: 2x part-time PhD student × 48h/FTE = 96.0h</t>
        </is>
      </c>
      <c r="I35" s="4" t="inlineStr">
        <is>
          <t>StAMP committee: 4% of 1314h = 52.5h;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Mark Sujan</t>
        </is>
      </c>
      <c r="B36" s="2" t="n">
        <v>0.8</v>
      </c>
      <c r="C36" s="3" t="n">
        <v>318.76</v>
      </c>
      <c r="D36" s="3" t="n">
        <v>47.4</v>
      </c>
      <c r="E36" s="3" t="n">
        <v>131.36</v>
      </c>
      <c r="F36" s="3" t="n">
        <v>140</v>
      </c>
      <c r="G36" s="4" t="inlineStr">
        <is>
          <t>HUFS (10cr): Mark Sujan: Standard (2.5x): 0.0h/teacher @ 2.5x; Standard (15h/assess, manual): 3.8h main + 3.8h resit = 7.5h; Standard (15h/assess, manual): 3.8h main + 3.8h resit = 7.5h</t>
        </is>
      </c>
      <c r="H36" s="4" t="inlineStr">
        <is>
          <t>No research activities recorded</t>
        </is>
      </c>
      <c r="I36" s="4" t="inlineStr">
        <is>
          <t>Engagement (email/meetings): 80.0h; Personal development: 60.0h (FTE: 0.80)</t>
        </is>
      </c>
      <c r="J36" s="5" t="inlineStr">
        <is>
          <t>None</t>
        </is>
      </c>
      <c r="K36" s="5" t="inlineStr">
        <is>
          <t>No administrative roles assigned</t>
        </is>
      </c>
      <c r="L36" s="5" t="inlineStr">
        <is>
          <t>None</t>
        </is>
      </c>
    </row>
    <row r="37">
      <c r="A37" s="2" t="inlineStr">
        <is>
          <t>Mike Freeman</t>
        </is>
      </c>
      <c r="B37" s="2" t="n">
        <v>1</v>
      </c>
      <c r="C37" s="3" t="n">
        <v>901.9333333333333</v>
      </c>
      <c r="D37" s="3" t="n">
        <v>480.6333333333333</v>
      </c>
      <c r="E37" s="3" t="n">
        <v>164.2</v>
      </c>
      <c r="F37" s="3" t="n">
        <v>257.1</v>
      </c>
      <c r="G37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7" s="4" t="inlineStr">
        <is>
          <t>No research activities recorded</t>
        </is>
      </c>
      <c r="I37" s="4" t="inlineStr">
        <is>
          <t>Academic Admissions Team: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Mike O'Dea</t>
        </is>
      </c>
      <c r="B38" s="2" t="n">
        <v>1</v>
      </c>
      <c r="C38" s="3" t="n">
        <v>816.6</v>
      </c>
      <c r="D38" s="3" t="n">
        <v>395.3</v>
      </c>
      <c r="E38" s="3" t="n">
        <v>164.2</v>
      </c>
      <c r="F38" s="3" t="n">
        <v>257.1</v>
      </c>
      <c r="G38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</t>
        </is>
      </c>
      <c r="H38" s="4" t="inlineStr">
        <is>
          <t>No research activities recorded</t>
        </is>
      </c>
      <c r="I38" s="4" t="inlineStr">
        <is>
          <t>Other PLs: 5% of 1642h = 82.1h;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Nick Pears</t>
        </is>
      </c>
      <c r="B39" s="2" t="n">
        <v>1</v>
      </c>
      <c r="C39" s="3" t="n">
        <v>1468.933333333333</v>
      </c>
      <c r="D39" s="3" t="n">
        <v>208.9333333333333</v>
      </c>
      <c r="E39" s="3" t="n">
        <v>428.2</v>
      </c>
      <c r="F39" s="3" t="n">
        <v>831.8000000000001</v>
      </c>
      <c r="G39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9" s="4" t="inlineStr">
        <is>
          <t>PhD supervision: 1x full-time PhD student × 80h/FTE; 3x part-time PhD student × 48h/FTE; 5x assessor (8h each) = 264.0h</t>
        </is>
      </c>
      <c r="I39" s="4" t="inlineStr">
        <is>
          <t>Deputy Head (Research): 40% of 1642h = 656.8h;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Oleg Lisagor</t>
        </is>
      </c>
      <c r="B40" s="2" t="n">
        <v>1</v>
      </c>
      <c r="C40" s="3" t="n">
        <v>797.3000000000001</v>
      </c>
      <c r="D40" s="3" t="n">
        <v>376</v>
      </c>
      <c r="E40" s="3" t="n">
        <v>164.2</v>
      </c>
      <c r="F40" s="3" t="n">
        <v>257.1</v>
      </c>
      <c r="G40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8 projects x MSc (24h) = 192.0h</t>
        </is>
      </c>
      <c r="H40" s="4" t="inlineStr">
        <is>
          <t>No research activities recorded</t>
        </is>
      </c>
      <c r="I40" s="4" t="inlineStr">
        <is>
          <t>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Paul Cairns</t>
        </is>
      </c>
      <c r="B41" s="2" t="n">
        <v>1</v>
      </c>
      <c r="C41" s="3" t="n">
        <v>1797.633333333334</v>
      </c>
      <c r="D41" s="3" t="n">
        <v>281.6333333333333</v>
      </c>
      <c r="E41" s="3" t="n">
        <v>1012.6</v>
      </c>
      <c r="F41" s="3" t="n">
        <v>503.4</v>
      </c>
      <c r="G41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41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41" s="4" t="inlineStr">
        <is>
          <t>Other PLs: 5% of 1642h = 82.1h; REF Lead: 5% of 1642h = 82.1h; Research Group Leader: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Pedro Ribeiro</t>
        </is>
      </c>
      <c r="B42" s="2" t="n">
        <v>1</v>
      </c>
      <c r="C42" s="3" t="n">
        <v>1296.3</v>
      </c>
      <c r="D42" s="3" t="n">
        <v>312.5</v>
      </c>
      <c r="E42" s="3" t="n">
        <v>644.6</v>
      </c>
      <c r="F42" s="3" t="n">
        <v>339.2</v>
      </c>
      <c r="G42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2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2" s="4" t="inlineStr">
        <is>
          <t>Progression Panel: 10% of 1642h = 164.2h;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Pengcheng Liu</t>
        </is>
      </c>
      <c r="B43" s="2" t="n">
        <v>1</v>
      </c>
      <c r="C43" s="3" t="n">
        <v>1993.32</v>
      </c>
      <c r="D43" s="3" t="n">
        <v>296.3</v>
      </c>
      <c r="E43" s="3" t="n">
        <v>996.5800000000002</v>
      </c>
      <c r="F43" s="3" t="n">
        <v>700.4400000000001</v>
      </c>
      <c r="G43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projects x UG (16h) = 48.0h</t>
        </is>
      </c>
      <c r="H43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43" s="4" t="inlineStr">
        <is>
          <t>Graduate Chair: 20% of 1642h = 328.4h; Research Group Leader: 10% of 1642h = 164.2h; Research Mentor: 2% of 1642h = 32.8h;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  <c r="L43" s="5" t="inlineStr">
        <is>
          <t>None</t>
        </is>
      </c>
    </row>
    <row r="44">
      <c r="A44" s="2" t="inlineStr">
        <is>
          <t>Peter Nightingale</t>
        </is>
      </c>
      <c r="B44" s="2" t="n">
        <v>1</v>
      </c>
      <c r="C44" s="3" t="n">
        <v>1069.866666666667</v>
      </c>
      <c r="D44" s="3" t="n">
        <v>430.4666666666666</v>
      </c>
      <c r="E44" s="3" t="n">
        <v>300.2</v>
      </c>
      <c r="F44" s="3" t="n">
        <v>339.2</v>
      </c>
      <c r="G44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4" s="4" t="inlineStr">
        <is>
          <t>PhD supervision: 2x part-time PhD student × 48h/FTE; 5x assessor (8h each) = 136.0h</t>
        </is>
      </c>
      <c r="I44" s="4" t="inlineStr">
        <is>
          <t>UG PL: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ARIA: no student numbers in CS Module Numbers.csv - marking hours estimated from a default of 100 students</t>
        </is>
      </c>
      <c r="L44" s="5" t="inlineStr">
        <is>
          <t>None</t>
        </is>
      </c>
    </row>
    <row r="45">
      <c r="A45" s="2" t="inlineStr">
        <is>
          <t>Poonam Yadav</t>
        </is>
      </c>
      <c r="B45" s="2" t="n">
        <v>1</v>
      </c>
      <c r="C45" s="3" t="n">
        <v>1702.933333333333</v>
      </c>
      <c r="D45" s="3" t="n">
        <v>250.9333333333333</v>
      </c>
      <c r="E45" s="3" t="n">
        <v>1112.8</v>
      </c>
      <c r="F45" s="3" t="n">
        <v>339.2</v>
      </c>
      <c r="G45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45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5" s="4" t="inlineStr">
        <is>
          <t>Progression Panel: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Pourya Shamsolmoali</t>
        </is>
      </c>
      <c r="B46" s="2" t="n">
        <v>1</v>
      </c>
      <c r="C46" s="3" t="n">
        <v>1010.9</v>
      </c>
      <c r="D46" s="3" t="n">
        <v>484.55</v>
      </c>
      <c r="E46" s="3" t="n">
        <v>228.2</v>
      </c>
      <c r="F46" s="3" t="n">
        <v>298.15</v>
      </c>
      <c r="G46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4 projects x UG (16h) = 64.0h</t>
        </is>
      </c>
      <c r="H46" s="4" t="inlineStr">
        <is>
          <t>PhD supervision: 1x part-time PhD student × 48h/FTE; 2x assessor (8h each) = 64.0h</t>
        </is>
      </c>
      <c r="I46" s="4" t="inlineStr">
        <is>
          <t>Graduate School Board (Ordinary member): 2% of 1642h = 41.1h; Other PLs: 5% of 1642h = 82.1h;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Radu Calinescu</t>
        </is>
      </c>
      <c r="B47" s="2" t="n">
        <v>1</v>
      </c>
      <c r="C47" s="3" t="n">
        <v>1257.54</v>
      </c>
      <c r="D47" s="3" t="n">
        <v>131</v>
      </c>
      <c r="E47" s="3" t="n">
        <v>918.7</v>
      </c>
      <c r="F47" s="3" t="n">
        <v>207.84</v>
      </c>
      <c r="G47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7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7" s="4" t="inlineStr">
        <is>
          <t>Research Mentor: 2% of 1642h = 32.8h;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Hawkins</t>
        </is>
      </c>
      <c r="B48" s="2" t="n">
        <v>1</v>
      </c>
      <c r="C48" s="3" t="n">
        <v>1158</v>
      </c>
      <c r="D48" s="3" t="n">
        <v>378.4</v>
      </c>
      <c r="E48" s="3" t="n">
        <v>358.3</v>
      </c>
      <c r="F48" s="3" t="n">
        <v>421.3</v>
      </c>
      <c r="G48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7 projects x MSc (24h) = 168.0h</t>
        </is>
      </c>
      <c r="H48" s="4" t="inlineStr">
        <is>
          <t>PhD supervision: 2x part-time PhD student × 48h/FTE; 2x assessor (8h each) = 112.0h; Grant The Centre for Assuring Autonomy: 5% of 1642h = 82.1h</t>
        </is>
      </c>
      <c r="I48" s="4" t="inlineStr">
        <is>
          <t>Other PLs: 5% of 1642h = 82.1h; Impact: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Richard Wilson</t>
        </is>
      </c>
      <c r="B49" s="2" t="n">
        <v>0.6</v>
      </c>
      <c r="C49" s="3" t="n">
        <v>657.04</v>
      </c>
      <c r="D49" s="3" t="n">
        <v>3</v>
      </c>
      <c r="E49" s="3" t="n">
        <v>450.52</v>
      </c>
      <c r="F49" s="3" t="n">
        <v>203.52</v>
      </c>
      <c r="G49" s="4" t="inlineStr">
        <is>
          <t>; Pastoral: 1 students x 3h = 3.0h; Also teaches: Artificial Intelligence (AI) (SAINTS - not included in workload)</t>
        </is>
      </c>
      <c r="H49" s="4" t="inlineStr">
        <is>
          <t>PhD supervision: 3x full-time PhD student × 80h/FTE; 2x part-time PhD student × 48h/FTE; 2x assessor (8h each) = 352.0h</t>
        </is>
      </c>
      <c r="I49" s="4" t="inlineStr">
        <is>
          <t>ART staff representative: 0% of 985h = 0.0h; Research Group Leader: 10% of 985h = 98.5h; Engagement (email/meetings): 60.0h; Personal development: 45.0h (FTE: 0.60)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 Alexander</t>
        </is>
      </c>
      <c r="B50" s="2" t="n">
        <v>1</v>
      </c>
      <c r="C50" s="3" t="n">
        <v>1043.88</v>
      </c>
      <c r="D50" s="3" t="n">
        <v>404.9</v>
      </c>
      <c r="E50" s="3" t="n">
        <v>398.3</v>
      </c>
      <c r="F50" s="3" t="n">
        <v>240.68</v>
      </c>
      <c r="G50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7 projects x MSc (24h) = 168.0h</t>
        </is>
      </c>
      <c r="H50" s="4" t="inlineStr">
        <is>
          <t>PhD supervision: 3x part-time PhD student × 48h/FTE; 1x assessor (8h each) = 152.0h; Grant The Centre for Assuring Autonomy: 5%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Roberto Metere</t>
        </is>
      </c>
      <c r="B51" s="2" t="n">
        <v>1</v>
      </c>
      <c r="C51" s="3" t="n">
        <v>1120.363333333333</v>
      </c>
      <c r="D51" s="3" t="n">
        <v>611.4833333333333</v>
      </c>
      <c r="E51" s="3" t="n">
        <v>268.2</v>
      </c>
      <c r="F51" s="3" t="n">
        <v>240.68</v>
      </c>
      <c r="G51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51" s="4" t="inlineStr">
        <is>
          <t>PhD supervision: 2x part-time PhD student × 48h/FTE; 1x assessor (8h each) = 104.0h</t>
        </is>
      </c>
      <c r="I51" s="4" t="inlineStr">
        <is>
          <t>StAMP committee: 4% of 1642h = 65.7h;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623.7833333333333</v>
      </c>
      <c r="D52" s="3" t="n">
        <v>284.5833333333333</v>
      </c>
      <c r="E52" s="3" t="n">
        <v>164.2</v>
      </c>
      <c r="F52" s="3" t="n">
        <v>175</v>
      </c>
      <c r="G52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Sarah Carrington</t>
        </is>
      </c>
      <c r="B53" s="2" t="n">
        <v>0.8</v>
      </c>
      <c r="C53" s="3" t="n">
        <v>648.66</v>
      </c>
      <c r="D53" s="3" t="n">
        <v>377.3</v>
      </c>
      <c r="E53" s="3" t="n">
        <v>131.36</v>
      </c>
      <c r="F53" s="3" t="n">
        <v>140</v>
      </c>
      <c r="G53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10 projects x MSc (24h) = 240.0h</t>
        </is>
      </c>
      <c r="H53" s="4" t="inlineStr">
        <is>
          <t>No research activities recorded</t>
        </is>
      </c>
      <c r="I53" s="4" t="inlineStr">
        <is>
          <t>Engagement (email/meetings): 80.0h; Personal development: 60.0h (FTE: 0.80)</t>
        </is>
      </c>
      <c r="J53" s="5" t="inlineStr">
        <is>
          <t>None</t>
        </is>
      </c>
      <c r="K53" s="5" t="inlineStr">
        <is>
          <t>No administrative roles assigned</t>
        </is>
      </c>
      <c r="L53" s="5" t="inlineStr">
        <is>
          <t>None</t>
        </is>
      </c>
    </row>
    <row r="54">
      <c r="A54" s="2" t="inlineStr">
        <is>
          <t>Siamak Shahandashti</t>
        </is>
      </c>
      <c r="B54" s="2" t="n">
        <v>1</v>
      </c>
      <c r="C54" s="3" t="n">
        <v>1365.366666666667</v>
      </c>
      <c r="D54" s="3" t="n">
        <v>383.6666666666666</v>
      </c>
      <c r="E54" s="3" t="n">
        <v>478.3</v>
      </c>
      <c r="F54" s="3" t="n">
        <v>503.4</v>
      </c>
      <c r="G54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54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54" s="4" t="inlineStr">
        <is>
          <t>Deputy Graduate Chair: 10% of 1642h = 164.2h; Research Group Leader: 10% of 1642h = 164.2h;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Simon Burton</t>
        </is>
      </c>
      <c r="B55" s="2" t="n">
        <v>1</v>
      </c>
      <c r="C55" s="3" t="n">
        <v>1020.24</v>
      </c>
      <c r="D55" s="3" t="n">
        <v>53.7</v>
      </c>
      <c r="E55" s="3" t="n">
        <v>791.54</v>
      </c>
      <c r="F55" s="3" t="n">
        <v>175</v>
      </c>
      <c r="G55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5" s="4" t="inlineStr">
        <is>
          <t>PhD supervision: 1x full-time PhD student × 80h/FTE; 2x part-time PhD student × 48h/FTE; 1x assessor (8h each) = 184.0h; Grant Verifiable generation of SOTIF requirements: 2% of 1642h = 32.8h; Grant Moving forward explainable AI by combining different assurance metrics: 15% of 1642h = 246.3h; Grant AI safety argumentation review: 5% of 1642h = 82.1h; Grant KTP with DNV Services Ltd - Innovate part: 3% of 1642h = 49.3h; Grant KTP with DNV Services Ltd - Industry part: 2% of 1642h = 32.8h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Simon Foster</t>
        </is>
      </c>
      <c r="B56" s="2" t="n">
        <v>1</v>
      </c>
      <c r="C56" s="3" t="n">
        <v>855.1166666666666</v>
      </c>
      <c r="D56" s="3" t="n">
        <v>403.9166666666666</v>
      </c>
      <c r="E56" s="3" t="n">
        <v>276.2</v>
      </c>
      <c r="F56" s="3" t="n">
        <v>175</v>
      </c>
      <c r="G56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4 projects x UG (16h) = 64.0h</t>
        </is>
      </c>
      <c r="H56" s="4" t="inlineStr">
        <is>
          <t>PhD supervision: 2x part-time PhD student × 48h/FTE; 2x assessor (8h each) = 112.0h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Simos Gerasimou</t>
        </is>
      </c>
      <c r="B57" s="2" t="n">
        <v>1</v>
      </c>
      <c r="C57" s="3" t="n">
        <v>1309.68</v>
      </c>
      <c r="D57" s="3" t="n">
        <v>0</v>
      </c>
      <c r="E57" s="3" t="n">
        <v>1101.84</v>
      </c>
      <c r="F57" s="3" t="n">
        <v>207.84</v>
      </c>
      <c r="G57" s="4" t="inlineStr"/>
      <c r="H57" s="4" t="inlineStr">
        <is>
          <t>PhD supervision: 1x full-time PhD student × 80h/FTE; 3x part-time PhD student × 48h/FTE; 3x assessor (8h each) = 248.0h; Grant Human-centric Digital Twin Approaches to Trustworthy AI and Robotics for Improved Working Conditions: 12% of 1642h = 197.0h; Grant Socially-Acceptable and Trustworthy Human-Robot Teaming for Agile Industries (SYMPHONY Resubmission): 10% of 1642h = 164.2h; Grant GuardAI ( Enhancing Robustness and Security of Edge AI Systems for Safety-Critical Applications): 15% of 1642h = 246.3h; Grant MOSAICO: 5% of 1642h = 82.1h</t>
        </is>
      </c>
      <c r="I57" s="4" t="inlineStr">
        <is>
          <t>Research Mentor: 2% of 1642h = 32.8h;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Soumya Banerjee</t>
        </is>
      </c>
      <c r="B58" s="2" t="n">
        <v>1</v>
      </c>
      <c r="C58" s="3" t="n">
        <v>919.8333333333334</v>
      </c>
      <c r="D58" s="3" t="n">
        <v>416.4333333333333</v>
      </c>
      <c r="E58" s="3" t="n">
        <v>164.2</v>
      </c>
      <c r="F58" s="3" t="n">
        <v>339.2</v>
      </c>
      <c r="G5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58" s="4" t="inlineStr">
        <is>
          <t>No research activities recorded</t>
        </is>
      </c>
      <c r="I58" s="4" t="inlineStr">
        <is>
          <t>Mumbai Campus Partnership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LLMA: no student numbers in CS Module Numbers.csv - marking hours estimated from a default of 100 students</t>
        </is>
      </c>
      <c r="L58" s="5" t="inlineStr">
        <is>
          <t>None</t>
        </is>
      </c>
    </row>
    <row r="59">
      <c r="A59" s="2" t="inlineStr">
        <is>
          <t>Stefano Pirandola</t>
        </is>
      </c>
      <c r="B59" s="2" t="n">
        <v>1</v>
      </c>
      <c r="C59" s="3" t="n">
        <v>1380.45</v>
      </c>
      <c r="D59" s="3" t="n">
        <v>274.55</v>
      </c>
      <c r="E59" s="3" t="n">
        <v>520.4000000000001</v>
      </c>
      <c r="F59" s="3" t="n">
        <v>585.5</v>
      </c>
      <c r="G5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5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9" s="4" t="inlineStr">
        <is>
          <t>Progression Panel Chair: 15% of 1642h = 246.3h; Research Group Leader: 10% of 1642h = 164.2h;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Wright</t>
        </is>
      </c>
      <c r="B60" s="2" t="n">
        <v>1</v>
      </c>
      <c r="C60" s="3" t="n">
        <v>1353.8</v>
      </c>
      <c r="D60" s="3" t="n">
        <v>234</v>
      </c>
      <c r="E60" s="3" t="n">
        <v>452.2</v>
      </c>
      <c r="F60" s="3" t="n">
        <v>667.5999999999999</v>
      </c>
      <c r="G6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60" s="4" t="inlineStr">
        <is>
          <t>PhD supervision: 3x full-time PhD student × 80h/FTE; 1x part-time PhD student × 48h/FTE = 288.0h</t>
        </is>
      </c>
      <c r="I60" s="4" t="inlineStr">
        <is>
          <t>CBoE (on-campus): 30% of 1642h = 492.6h;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Steven Xiaotian Dai</t>
        </is>
      </c>
      <c r="B61" s="2" t="n">
        <v>1</v>
      </c>
      <c r="C61" s="3" t="n">
        <v>1190.5</v>
      </c>
      <c r="D61" s="3" t="n">
        <v>336.8</v>
      </c>
      <c r="E61" s="3" t="n">
        <v>350.3</v>
      </c>
      <c r="F61" s="3" t="n">
        <v>503.4</v>
      </c>
      <c r="G6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61" s="4" t="inlineStr">
        <is>
          <t>PhD supervision: 2x part-time PhD student × 48h/FTE; 1x assessor (8h each) = 104.0h; Grant SCHEME: 5% of 1642h = 82.1h</t>
        </is>
      </c>
      <c r="I61" s="4" t="inlineStr">
        <is>
          <t>Student Disability Representative: 20% of 1642h = 328.4h;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Tommy Yuan</t>
        </is>
      </c>
      <c r="B62" s="2" t="n">
        <v>1</v>
      </c>
      <c r="C62" s="3" t="n">
        <v>1557.546666666667</v>
      </c>
      <c r="D62" s="3" t="n">
        <v>624.2666666666667</v>
      </c>
      <c r="E62" s="3" t="n">
        <v>364.2</v>
      </c>
      <c r="F62" s="3" t="n">
        <v>569.08</v>
      </c>
      <c r="G62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62" s="4" t="inlineStr">
        <is>
          <t>PhD supervision: 1x full-time PhD student × 80h/FTE; 2x part-time PhD student × 48h/FTE; 3x assessor (8h each) = 200.0h</t>
        </is>
      </c>
      <c r="I62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2" s="5" t="inlineStr">
        <is>
          <t>None</t>
        </is>
      </c>
      <c r="K62" s="5" t="inlineStr">
        <is>
          <t>ARIA: no student numbers in CS Module Numbers.csv - marking hours estimated from a default of 100 students</t>
        </is>
      </c>
      <c r="L62" s="5" t="inlineStr">
        <is>
          <t>None</t>
        </is>
      </c>
    </row>
    <row r="63">
      <c r="A63" s="2" t="inlineStr">
        <is>
          <t>Vasileios Vasilakis</t>
        </is>
      </c>
      <c r="B63" s="2" t="n">
        <v>1</v>
      </c>
      <c r="C63" s="3" t="n">
        <v>1103.9</v>
      </c>
      <c r="D63" s="3" t="n">
        <v>408.5</v>
      </c>
      <c r="E63" s="3" t="n">
        <v>356.2</v>
      </c>
      <c r="F63" s="3" t="n">
        <v>339.2</v>
      </c>
      <c r="G6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7 projects x MSc (24h) = 168.0h</t>
        </is>
      </c>
      <c r="H63" s="4" t="inlineStr">
        <is>
          <t>PhD supervision: 1x full-time PhD student × 80h/FTE; 2x part-time PhD student × 48h/FTE; 2x assessor (8h each) = 192.0h</t>
        </is>
      </c>
      <c r="I63" s="4" t="inlineStr">
        <is>
          <t>Deputy CBoEs: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William Smith</t>
        </is>
      </c>
      <c r="B64" s="2" t="n">
        <v>1</v>
      </c>
      <c r="C64" s="3" t="n">
        <v>1490.316666666667</v>
      </c>
      <c r="D64" s="3" t="n">
        <v>351.7666666666667</v>
      </c>
      <c r="E64" s="3" t="n">
        <v>676.2</v>
      </c>
      <c r="F64" s="3" t="n">
        <v>462.35</v>
      </c>
      <c r="G64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projects x UG (16h) = 80.0h</t>
        </is>
      </c>
      <c r="H64" s="4" t="inlineStr">
        <is>
          <t>PhD supervision: 4x full-time PhD student × 80h/FTE; 3x part-time PhD student × 48h/FTE; 6x assessor (8h each) = 512.0h</t>
        </is>
      </c>
      <c r="I64" s="4" t="inlineStr">
        <is>
          <t>Director of Admissions: 5% of 1642h = 82.1h; Internally Distributed Funding panel reviewer: 2% of 1642h = 41.1h; Research Group Leader: 10% of 1642h = 164.2h;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Xinwei Fang</t>
        </is>
      </c>
      <c r="B65" s="2" t="n">
        <v>1</v>
      </c>
      <c r="C65" s="3" t="n">
        <v>925.1</v>
      </c>
      <c r="D65" s="3" t="n">
        <v>423.8</v>
      </c>
      <c r="E65" s="3" t="n">
        <v>244.2</v>
      </c>
      <c r="F65" s="3" t="n">
        <v>257.1</v>
      </c>
      <c r="G6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65" s="4" t="inlineStr">
        <is>
          <t>PhD supervision: 1x full-time PhD student × 80h/FTE = 80.0h</t>
        </is>
      </c>
      <c r="I65" s="4" t="inlineStr">
        <is>
          <t>Other PLs: 5% of 1642h = 82.1h;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Yan Jia</t>
        </is>
      </c>
      <c r="B66" s="2" t="n">
        <v>1</v>
      </c>
      <c r="C66" s="3" t="n">
        <v>1169.1</v>
      </c>
      <c r="D66" s="3" t="n">
        <v>27</v>
      </c>
      <c r="E66" s="3" t="n">
        <v>638.7</v>
      </c>
      <c r="F66" s="3" t="n">
        <v>503.4</v>
      </c>
      <c r="G66" s="4" t="inlineStr">
        <is>
          <t>; Pastoral: 9 students x 3h = 27.0h; Also teaches: Designing Safe AI (Safe AI 2), Foundations of Safe AI (Safe AI 1) (SAINTS - not included in workload)</t>
        </is>
      </c>
      <c r="H6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66" s="4" t="inlineStr">
        <is>
          <t>Ethics Committee Member: 20% of 1642h = 328.4h;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  <row r="67">
      <c r="A67" s="2" t="inlineStr">
        <is>
          <t>Yuchen Zhao</t>
        </is>
      </c>
      <c r="B67" s="2" t="n">
        <v>1</v>
      </c>
      <c r="C67" s="3" t="n">
        <v>856.5</v>
      </c>
      <c r="D67" s="3" t="n">
        <v>419.2</v>
      </c>
      <c r="E67" s="3" t="n">
        <v>180.2</v>
      </c>
      <c r="F67" s="3" t="n">
        <v>257.1</v>
      </c>
      <c r="G6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67" s="4" t="inlineStr">
        <is>
          <t>PhD supervision: 2x assessor (8h each) = 16.0h</t>
        </is>
      </c>
      <c r="I67" s="4" t="inlineStr">
        <is>
          <t>Other PLs: 5% of 1642h = 82.1h; Engagement (email/meetings): 100.0h; Personal development: 75.0h (FTE: 1.00)</t>
        </is>
      </c>
      <c r="J67" s="5" t="inlineStr">
        <is>
          <t>None</t>
        </is>
      </c>
      <c r="K67" s="5" t="inlineStr">
        <is>
          <t>None</t>
        </is>
      </c>
      <c r="L6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427.5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351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303.8333333333333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339.2</v>
      </c>
      <c r="E5" s="7">
        <f>SUM(B5:D5)</f>
        <v/>
      </c>
    </row>
    <row r="6">
      <c r="A6" t="inlineStr">
        <is>
          <t>Andrew Pomfret</t>
        </is>
      </c>
      <c r="B6" s="7" t="n">
        <v>459.6333333333333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423.5333333333333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212.8666666666667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401.4</v>
      </c>
      <c r="C12" s="7" t="n">
        <v>579.76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317.8333333333334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444.8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405.3833333333333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1114.9</v>
      </c>
      <c r="D18" s="7" t="n">
        <v>372.04</v>
      </c>
      <c r="E18" s="7">
        <f>SUM(B18:D18)</f>
        <v/>
      </c>
    </row>
    <row r="19">
      <c r="A19" t="inlineStr">
        <is>
          <t>Fang Yan</t>
        </is>
      </c>
      <c r="B19" s="7" t="n">
        <v>214.4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1794.42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588.6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Ibrahim Habli</t>
        </is>
      </c>
      <c r="B24" s="7" t="n">
        <v>0</v>
      </c>
      <c r="C24" s="7" t="n">
        <v>1495.5</v>
      </c>
      <c r="D24" s="7" t="n">
        <v>175</v>
      </c>
      <c r="E24" s="7">
        <f>SUM(B24:D24)</f>
        <v/>
      </c>
    </row>
    <row r="25">
      <c r="A25" t="inlineStr">
        <is>
          <t>Jacob Rigby</t>
        </is>
      </c>
      <c r="B25" s="7" t="n">
        <v>243.2333333333333</v>
      </c>
      <c r="C25" s="7" t="n">
        <v>246.3</v>
      </c>
      <c r="D25" s="7" t="n">
        <v>339.2</v>
      </c>
      <c r="E25" s="7">
        <f>SUM(B25:D25)</f>
        <v/>
      </c>
    </row>
    <row r="26">
      <c r="A26" t="inlineStr">
        <is>
          <t>James Stovold</t>
        </is>
      </c>
      <c r="B26" s="7" t="n">
        <v>407.5</v>
      </c>
      <c r="C26" s="7" t="n">
        <v>164.2</v>
      </c>
      <c r="D26" s="7" t="n">
        <v>257.1</v>
      </c>
      <c r="E26" s="7">
        <f>SUM(B26:D26)</f>
        <v/>
      </c>
    </row>
    <row r="27">
      <c r="A27" t="inlineStr">
        <is>
          <t>James Walker</t>
        </is>
      </c>
      <c r="B27" s="7" t="n">
        <v>309.8666666666667</v>
      </c>
      <c r="C27" s="7" t="n">
        <v>1000.8</v>
      </c>
      <c r="D27" s="7" t="n">
        <v>175</v>
      </c>
      <c r="E27" s="7">
        <f>SUM(B27:D27)</f>
        <v/>
      </c>
    </row>
    <row r="28">
      <c r="A28" t="inlineStr">
        <is>
          <t>Jen Beeston</t>
        </is>
      </c>
      <c r="B28" s="7" t="n">
        <v>355.7</v>
      </c>
      <c r="C28" s="7" t="n">
        <v>332.2</v>
      </c>
      <c r="D28" s="7" t="n">
        <v>667.5999999999999</v>
      </c>
      <c r="E28" s="7">
        <f>SUM(B28:D28)</f>
        <v/>
      </c>
    </row>
    <row r="29">
      <c r="A29" t="inlineStr">
        <is>
          <t>Jo Iacovides</t>
        </is>
      </c>
      <c r="B29" s="7" t="n">
        <v>297.7</v>
      </c>
      <c r="C29" s="7" t="n">
        <v>348.2</v>
      </c>
      <c r="D29" s="7" t="n">
        <v>339.2</v>
      </c>
      <c r="E29" s="7">
        <f>SUM(B29:D29)</f>
        <v/>
      </c>
    </row>
    <row r="30">
      <c r="A30" t="inlineStr">
        <is>
          <t>Joe Cutting</t>
        </is>
      </c>
      <c r="B30" s="7" t="n">
        <v>347.1</v>
      </c>
      <c r="C30" s="7" t="n">
        <v>228.2</v>
      </c>
      <c r="D30" s="7" t="n">
        <v>175</v>
      </c>
      <c r="E30" s="7">
        <f>SUM(B30:D30)</f>
        <v/>
      </c>
    </row>
    <row r="31">
      <c r="A31" t="inlineStr">
        <is>
          <t>John McDermid</t>
        </is>
      </c>
      <c r="B31" s="7" t="n">
        <v>0</v>
      </c>
      <c r="C31" s="7" t="n">
        <v>1539.7</v>
      </c>
      <c r="D31" s="7" t="n">
        <v>339.2</v>
      </c>
      <c r="E31" s="7">
        <f>SUM(B31:D31)</f>
        <v/>
      </c>
    </row>
    <row r="32">
      <c r="A32" t="inlineStr">
        <is>
          <t>Katrina Attwood</t>
        </is>
      </c>
      <c r="B32" s="7" t="n">
        <v>454.6333333333333</v>
      </c>
      <c r="C32" s="7" t="n">
        <v>212.2</v>
      </c>
      <c r="D32" s="7" t="n">
        <v>503.4</v>
      </c>
      <c r="E32" s="7">
        <f>SUM(B32:D32)</f>
        <v/>
      </c>
    </row>
    <row r="33">
      <c r="A33" t="inlineStr">
        <is>
          <t>Kofi Appiah</t>
        </is>
      </c>
      <c r="B33" s="7" t="n">
        <v>395.8</v>
      </c>
      <c r="C33" s="7" t="n">
        <v>356.2</v>
      </c>
      <c r="D33" s="7" t="n">
        <v>421.3</v>
      </c>
      <c r="E33" s="7">
        <f>SUM(B33:D33)</f>
        <v/>
      </c>
    </row>
    <row r="34">
      <c r="A34" t="inlineStr">
        <is>
          <t>Kostas Barmpis</t>
        </is>
      </c>
      <c r="B34" s="7" t="n">
        <v>429</v>
      </c>
      <c r="C34" s="7" t="n">
        <v>548.6</v>
      </c>
      <c r="D34" s="7" t="n">
        <v>257.1</v>
      </c>
      <c r="E34" s="7">
        <f>SUM(B34:D34)</f>
        <v/>
      </c>
    </row>
    <row r="35">
      <c r="A35" t="inlineStr">
        <is>
          <t>Mark Nicholson</t>
        </is>
      </c>
      <c r="B35" s="7" t="n">
        <v>314.7</v>
      </c>
      <c r="C35" s="7" t="n">
        <v>227.36</v>
      </c>
      <c r="D35" s="7" t="n">
        <v>192.544</v>
      </c>
      <c r="E35" s="7">
        <f>SUM(B35:D35)</f>
        <v/>
      </c>
    </row>
    <row r="36">
      <c r="A36" t="inlineStr">
        <is>
          <t>Mark Sujan</t>
        </is>
      </c>
      <c r="B36" s="7" t="n">
        <v>47.4</v>
      </c>
      <c r="C36" s="7" t="n">
        <v>131.36</v>
      </c>
      <c r="D36" s="7" t="n">
        <v>140</v>
      </c>
      <c r="E36" s="7">
        <f>SUM(B36:D36)</f>
        <v/>
      </c>
    </row>
    <row r="37">
      <c r="A37" t="inlineStr">
        <is>
          <t>Mike Freeman</t>
        </is>
      </c>
      <c r="B37" s="7" t="n">
        <v>480.6333333333333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Mike O'Dea</t>
        </is>
      </c>
      <c r="B38" s="7" t="n">
        <v>395.3</v>
      </c>
      <c r="C38" s="7" t="n">
        <v>164.2</v>
      </c>
      <c r="D38" s="7" t="n">
        <v>257.1</v>
      </c>
      <c r="E38" s="7">
        <f>SUM(B38:D38)</f>
        <v/>
      </c>
    </row>
    <row r="39">
      <c r="A39" t="inlineStr">
        <is>
          <t>Nick Pears</t>
        </is>
      </c>
      <c r="B39" s="7" t="n">
        <v>208.9333333333333</v>
      </c>
      <c r="C39" s="7" t="n">
        <v>428.2</v>
      </c>
      <c r="D39" s="7" t="n">
        <v>831.8000000000001</v>
      </c>
      <c r="E39" s="7">
        <f>SUM(B39:D39)</f>
        <v/>
      </c>
    </row>
    <row r="40">
      <c r="A40" t="inlineStr">
        <is>
          <t>Oleg Lisagor</t>
        </is>
      </c>
      <c r="B40" s="7" t="n">
        <v>376</v>
      </c>
      <c r="C40" s="7" t="n">
        <v>164.2</v>
      </c>
      <c r="D40" s="7" t="n">
        <v>257.1</v>
      </c>
      <c r="E40" s="7">
        <f>SUM(B40:D40)</f>
        <v/>
      </c>
    </row>
    <row r="41">
      <c r="A41" t="inlineStr">
        <is>
          <t>Paul Cairns</t>
        </is>
      </c>
      <c r="B41" s="7" t="n">
        <v>281.6333333333333</v>
      </c>
      <c r="C41" s="7" t="n">
        <v>1012.6</v>
      </c>
      <c r="D41" s="7" t="n">
        <v>503.4</v>
      </c>
      <c r="E41" s="7">
        <f>SUM(B41:D41)</f>
        <v/>
      </c>
    </row>
    <row r="42">
      <c r="A42" t="inlineStr">
        <is>
          <t>Pedro Ribeiro</t>
        </is>
      </c>
      <c r="B42" s="7" t="n">
        <v>312.5</v>
      </c>
      <c r="C42" s="7" t="n">
        <v>644.6</v>
      </c>
      <c r="D42" s="7" t="n">
        <v>339.2</v>
      </c>
      <c r="E42" s="7">
        <f>SUM(B42:D42)</f>
        <v/>
      </c>
    </row>
    <row r="43">
      <c r="A43" t="inlineStr">
        <is>
          <t>Pengcheng Liu</t>
        </is>
      </c>
      <c r="B43" s="7" t="n">
        <v>296.3</v>
      </c>
      <c r="C43" s="7" t="n">
        <v>996.5800000000002</v>
      </c>
      <c r="D43" s="7" t="n">
        <v>700.4400000000001</v>
      </c>
      <c r="E43" s="7">
        <f>SUM(B43:D43)</f>
        <v/>
      </c>
    </row>
    <row r="44">
      <c r="A44" t="inlineStr">
        <is>
          <t>Peter Nightingale</t>
        </is>
      </c>
      <c r="B44" s="7" t="n">
        <v>430.4666666666666</v>
      </c>
      <c r="C44" s="7" t="n">
        <v>300.2</v>
      </c>
      <c r="D44" s="7" t="n">
        <v>339.2</v>
      </c>
      <c r="E44" s="7">
        <f>SUM(B44:D44)</f>
        <v/>
      </c>
    </row>
    <row r="45">
      <c r="A45" t="inlineStr">
        <is>
          <t>Poonam Yadav</t>
        </is>
      </c>
      <c r="B45" s="7" t="n">
        <v>250.9333333333333</v>
      </c>
      <c r="C45" s="7" t="n">
        <v>1112.8</v>
      </c>
      <c r="D45" s="7" t="n">
        <v>339.2</v>
      </c>
      <c r="E45" s="7">
        <f>SUM(B45:D45)</f>
        <v/>
      </c>
    </row>
    <row r="46">
      <c r="A46" t="inlineStr">
        <is>
          <t>Pourya Shamsolmoali</t>
        </is>
      </c>
      <c r="B46" s="7" t="n">
        <v>484.55</v>
      </c>
      <c r="C46" s="7" t="n">
        <v>228.2</v>
      </c>
      <c r="D46" s="7" t="n">
        <v>298.15</v>
      </c>
      <c r="E46" s="7">
        <f>SUM(B46:D46)</f>
        <v/>
      </c>
    </row>
    <row r="47">
      <c r="A47" t="inlineStr">
        <is>
          <t>Radu Calinescu</t>
        </is>
      </c>
      <c r="B47" s="7" t="n">
        <v>131</v>
      </c>
      <c r="C47" s="7" t="n">
        <v>918.7</v>
      </c>
      <c r="D47" s="7" t="n">
        <v>207.84</v>
      </c>
      <c r="E47" s="7">
        <f>SUM(B47:D47)</f>
        <v/>
      </c>
    </row>
    <row r="48">
      <c r="A48" t="inlineStr">
        <is>
          <t>Richard Hawkins</t>
        </is>
      </c>
      <c r="B48" s="7" t="n">
        <v>378.4</v>
      </c>
      <c r="C48" s="7" t="n">
        <v>358.3</v>
      </c>
      <c r="D48" s="7" t="n">
        <v>421.3</v>
      </c>
      <c r="E48" s="7">
        <f>SUM(B48:D48)</f>
        <v/>
      </c>
    </row>
    <row r="49">
      <c r="A49" t="inlineStr">
        <is>
          <t>Richard Wilson</t>
        </is>
      </c>
      <c r="B49" s="7" t="n">
        <v>3</v>
      </c>
      <c r="C49" s="7" t="n">
        <v>450.52</v>
      </c>
      <c r="D49" s="7" t="n">
        <v>203.52</v>
      </c>
      <c r="E49" s="7">
        <f>SUM(B49:D49)</f>
        <v/>
      </c>
    </row>
    <row r="50">
      <c r="A50" t="inlineStr">
        <is>
          <t>Rob Alexander</t>
        </is>
      </c>
      <c r="B50" s="7" t="n">
        <v>404.9</v>
      </c>
      <c r="C50" s="7" t="n">
        <v>398.3</v>
      </c>
      <c r="D50" s="7" t="n">
        <v>240.68</v>
      </c>
      <c r="E50" s="7">
        <f>SUM(B50:D50)</f>
        <v/>
      </c>
    </row>
    <row r="51">
      <c r="A51" t="inlineStr">
        <is>
          <t>Roberto Metere</t>
        </is>
      </c>
      <c r="B51" s="7" t="n">
        <v>611.4833333333333</v>
      </c>
      <c r="C51" s="7" t="n">
        <v>268.2</v>
      </c>
      <c r="D51" s="7" t="n">
        <v>240.68</v>
      </c>
      <c r="E51" s="7">
        <f>SUM(B51:D51)</f>
        <v/>
      </c>
    </row>
    <row r="52">
      <c r="A52" t="inlineStr">
        <is>
          <t>Sam Braunstein</t>
        </is>
      </c>
      <c r="B52" s="7" t="n">
        <v>284.5833333333333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Sarah Carrington</t>
        </is>
      </c>
      <c r="B53" s="7" t="n">
        <v>377.3</v>
      </c>
      <c r="C53" s="7" t="n">
        <v>131.36</v>
      </c>
      <c r="D53" s="7" t="n">
        <v>140</v>
      </c>
      <c r="E53" s="7">
        <f>SUM(B53:D53)</f>
        <v/>
      </c>
    </row>
    <row r="54">
      <c r="A54" t="inlineStr">
        <is>
          <t>Siamak Shahandashti</t>
        </is>
      </c>
      <c r="B54" s="7" t="n">
        <v>383.6666666666666</v>
      </c>
      <c r="C54" s="7" t="n">
        <v>478.3</v>
      </c>
      <c r="D54" s="7" t="n">
        <v>503.4</v>
      </c>
      <c r="E54" s="7">
        <f>SUM(B54:D54)</f>
        <v/>
      </c>
    </row>
    <row r="55">
      <c r="A55" t="inlineStr">
        <is>
          <t>Simon Burton</t>
        </is>
      </c>
      <c r="B55" s="7" t="n">
        <v>53.7</v>
      </c>
      <c r="C55" s="7" t="n">
        <v>791.54</v>
      </c>
      <c r="D55" s="7" t="n">
        <v>175</v>
      </c>
      <c r="E55" s="7">
        <f>SUM(B55:D55)</f>
        <v/>
      </c>
    </row>
    <row r="56">
      <c r="A56" t="inlineStr">
        <is>
          <t>Simon Foster</t>
        </is>
      </c>
      <c r="B56" s="7" t="n">
        <v>403.9166666666666</v>
      </c>
      <c r="C56" s="7" t="n">
        <v>276.2</v>
      </c>
      <c r="D56" s="7" t="n">
        <v>175</v>
      </c>
      <c r="E56" s="7">
        <f>SUM(B56:D56)</f>
        <v/>
      </c>
    </row>
    <row r="57">
      <c r="A57" t="inlineStr">
        <is>
          <t>Simos Gerasimou</t>
        </is>
      </c>
      <c r="B57" s="7" t="n">
        <v>0</v>
      </c>
      <c r="C57" s="7" t="n">
        <v>1101.84</v>
      </c>
      <c r="D57" s="7" t="n">
        <v>207.84</v>
      </c>
      <c r="E57" s="7">
        <f>SUM(B57:D57)</f>
        <v/>
      </c>
    </row>
    <row r="58">
      <c r="A58" t="inlineStr">
        <is>
          <t>Soumya Banerjee</t>
        </is>
      </c>
      <c r="B58" s="7" t="n">
        <v>416.4333333333333</v>
      </c>
      <c r="C58" s="7" t="n">
        <v>164.2</v>
      </c>
      <c r="D58" s="7" t="n">
        <v>339.2</v>
      </c>
      <c r="E58" s="7">
        <f>SUM(B58:D58)</f>
        <v/>
      </c>
    </row>
    <row r="59">
      <c r="A59" t="inlineStr">
        <is>
          <t>Stefano Pirandola</t>
        </is>
      </c>
      <c r="B59" s="7" t="n">
        <v>274.55</v>
      </c>
      <c r="C59" s="7" t="n">
        <v>520.4000000000001</v>
      </c>
      <c r="D59" s="7" t="n">
        <v>585.5</v>
      </c>
      <c r="E59" s="7">
        <f>SUM(B59:D59)</f>
        <v/>
      </c>
    </row>
    <row r="60">
      <c r="A60" t="inlineStr">
        <is>
          <t>Steven Wright</t>
        </is>
      </c>
      <c r="B60" s="7" t="n">
        <v>234</v>
      </c>
      <c r="C60" s="7" t="n">
        <v>452.2</v>
      </c>
      <c r="D60" s="7" t="n">
        <v>667.5999999999999</v>
      </c>
      <c r="E60" s="7">
        <f>SUM(B60:D60)</f>
        <v/>
      </c>
    </row>
    <row r="61">
      <c r="A61" t="inlineStr">
        <is>
          <t>Steven Xiaotian Dai</t>
        </is>
      </c>
      <c r="B61" s="7" t="n">
        <v>336.8</v>
      </c>
      <c r="C61" s="7" t="n">
        <v>350.3</v>
      </c>
      <c r="D61" s="7" t="n">
        <v>503.4</v>
      </c>
      <c r="E61" s="7">
        <f>SUM(B61:D61)</f>
        <v/>
      </c>
    </row>
    <row r="62">
      <c r="A62" t="inlineStr">
        <is>
          <t>Tommy Yuan</t>
        </is>
      </c>
      <c r="B62" s="7" t="n">
        <v>624.2666666666667</v>
      </c>
      <c r="C62" s="7" t="n">
        <v>364.2</v>
      </c>
      <c r="D62" s="7" t="n">
        <v>569.08</v>
      </c>
      <c r="E62" s="7">
        <f>SUM(B62:D62)</f>
        <v/>
      </c>
    </row>
    <row r="63">
      <c r="A63" t="inlineStr">
        <is>
          <t>Vasileios Vasilakis</t>
        </is>
      </c>
      <c r="B63" s="7" t="n">
        <v>408.5</v>
      </c>
      <c r="C63" s="7" t="n">
        <v>356.2</v>
      </c>
      <c r="D63" s="7" t="n">
        <v>339.2</v>
      </c>
      <c r="E63" s="7">
        <f>SUM(B63:D63)</f>
        <v/>
      </c>
    </row>
    <row r="64">
      <c r="A64" t="inlineStr">
        <is>
          <t>William Smith</t>
        </is>
      </c>
      <c r="B64" s="7" t="n">
        <v>351.7666666666667</v>
      </c>
      <c r="C64" s="7" t="n">
        <v>676.2</v>
      </c>
      <c r="D64" s="7" t="n">
        <v>462.35</v>
      </c>
      <c r="E64" s="7">
        <f>SUM(B64:D64)</f>
        <v/>
      </c>
    </row>
    <row r="65">
      <c r="A65" t="inlineStr">
        <is>
          <t>Xinwei Fang</t>
        </is>
      </c>
      <c r="B65" s="7" t="n">
        <v>423.8</v>
      </c>
      <c r="C65" s="7" t="n">
        <v>244.2</v>
      </c>
      <c r="D65" s="7" t="n">
        <v>257.1</v>
      </c>
      <c r="E65" s="7">
        <f>SUM(B65:D65)</f>
        <v/>
      </c>
    </row>
    <row r="66">
      <c r="A66" t="inlineStr">
        <is>
          <t>Yan Jia</t>
        </is>
      </c>
      <c r="B66" s="7" t="n">
        <v>27</v>
      </c>
      <c r="C66" s="7" t="n">
        <v>638.7</v>
      </c>
      <c r="D66" s="7" t="n">
        <v>503.4</v>
      </c>
      <c r="E66" s="7">
        <f>SUM(B66:D66)</f>
        <v/>
      </c>
    </row>
    <row r="67">
      <c r="A67" t="inlineStr">
        <is>
          <t>Yuchen Zhao</t>
        </is>
      </c>
      <c r="B67" s="7" t="n">
        <v>419.2</v>
      </c>
      <c r="C67" s="7" t="n">
        <v>180.2</v>
      </c>
      <c r="D67" s="7" t="n">
        <v>257.1</v>
      </c>
      <c r="E67" s="7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2026-08-18T17:25:17Z</dcterms:created>
  <dcterms:modified xmlns:dcterms="http://purl.org/dc/terms/" xmlns:xsi="http://www.w3.org/2001/XMLSchema-instance" xsi:type="dcterms:W3CDTF">2026-08-18T17:25:17Z</dcterms:modified>
</cp:coreProperties>
</file>