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Workload'!$D$2:$D$66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Workload'!$E$2:$E$66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Workload'!$F$2:$F$66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Breakdown'!$B$2:$B$66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Breakdown'!$C$2:$C$66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Breakdown'!$D$2:$D$66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1096.8</v>
      </c>
      <c r="D2" s="3" t="n">
        <v>427.5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1298.6</v>
      </c>
      <c r="D3" s="3" t="n">
        <v>351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911.2333333333333</v>
      </c>
      <c r="D4" s="3" t="n">
        <v>303.8333333333333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887.4000000000001</v>
      </c>
      <c r="D5" s="3" t="n">
        <v>0</v>
      </c>
      <c r="E5" s="3" t="n">
        <v>548.2</v>
      </c>
      <c r="F5" s="3" t="n">
        <v>339.2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10% of 1642h = 164.2h; Engagement (email/meetings): 100.0h; Personal development: 75.0h (FTE: 1.00)</t>
        </is>
      </c>
      <c r="J5" s="5" t="inlineStr">
        <is>
          <t>Invalid FTE value for grant: '?'; Invalid FTE value for grant: '?'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880.9333333333333</v>
      </c>
      <c r="D6" s="3" t="n">
        <v>459.6333333333333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MOSAICO: 10% of 1642h = 164.2h; Grant SCHEME: 10%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1030.933333333333</v>
      </c>
      <c r="D8" s="3" t="n">
        <v>423.5333333333333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460.5466666666667</v>
      </c>
      <c r="D11" s="3" t="n">
        <v>212.8666666666667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3 projects x UG (16h) = 48.0h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1156.16</v>
      </c>
      <c r="D12" s="3" t="n">
        <v>401.4</v>
      </c>
      <c r="E12" s="3" t="n">
        <v>579.76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7 projects x UG (16h) = 112.0h;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657.0333333333333</v>
      </c>
      <c r="D13" s="3" t="n">
        <v>317.8333333333334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784</v>
      </c>
      <c r="D15" s="3" t="n">
        <v>444.8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1168.983333333333</v>
      </c>
      <c r="D16" s="3" t="n">
        <v>405.3833333333333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7 projects x UG (16h) = 112.0h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1537.14</v>
      </c>
      <c r="D18" s="3" t="n">
        <v>50.2</v>
      </c>
      <c r="E18" s="3" t="n">
        <v>1114.9</v>
      </c>
      <c r="F18" s="3" t="n">
        <v>372.04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8" s="4" t="inlineStr">
        <is>
          <t>Research Group Leader: 10% of 1642h = 164.2h;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553.5999999999999</v>
      </c>
      <c r="D19" s="3" t="n">
        <v>214.4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2143.186666666667</v>
      </c>
      <c r="D21" s="3" t="n">
        <v>91.66666666666666</v>
      </c>
      <c r="E21" s="3" t="n">
        <v>1794.42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2435.6</v>
      </c>
      <c r="D22" s="3" t="n">
        <v>30</v>
      </c>
      <c r="E22" s="3" t="n">
        <v>588.6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96.0h; Grant SCHEME: 20% of 1642h = 328.4h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828.7333333333333</v>
      </c>
      <c r="D24" s="3" t="n">
        <v>243.2333333333333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Grant EPSRC: Addressing environmental injustices through transdisciplinary science and technology: 5%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828.8000000000001</v>
      </c>
      <c r="D25" s="3" t="n">
        <v>407.5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75.0h; Projects: 7 projects x UG (16h) = 112.0h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1485.666666666667</v>
      </c>
      <c r="D26" s="3" t="n">
        <v>309.8666666666667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7 projects x UG (16h) = 112.0h</t>
        </is>
      </c>
      <c r="H26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1355.5</v>
      </c>
      <c r="D27" s="3" t="n">
        <v>355.7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985.1</v>
      </c>
      <c r="D28" s="3" t="n">
        <v>297.7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1878.9</v>
      </c>
      <c r="D30" s="3" t="n">
        <v>0</v>
      </c>
      <c r="E30" s="3" t="n">
        <v>1539.7</v>
      </c>
      <c r="F30" s="3" t="n">
        <v>339.2</v>
      </c>
      <c r="G30" s="4" t="inlineStr"/>
      <c r="H30" s="4" t="inlineStr">
        <is>
          <t>PhD supervision: 3x part-time PhD student × 48h/FTE = 144.0h; Grant Assessment of DSTA USVs and Continual Assurance of CI/CD for USVs: 5% of 1642h = 82.1h; Grant RAI UK: Safety &amp; Security Network (SSAIN): 20% of 1642h = 328.4h; Grant The Centre for Assuring Autonomy: 50% of 1642h = 821.0h</t>
        </is>
      </c>
      <c r="I30" s="4" t="inlineStr">
        <is>
          <t>Research Group Leader: 10% of 1642h = 164.2h;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1170.233333333333</v>
      </c>
      <c r="D31" s="3" t="n">
        <v>454.6333333333333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1173.3</v>
      </c>
      <c r="D32" s="3" t="n">
        <v>395.8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1234.7</v>
      </c>
      <c r="D33" s="3" t="n">
        <v>429</v>
      </c>
      <c r="E33" s="3" t="n">
        <v>548.6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3" s="4" t="inlineStr">
        <is>
          <t>PhD supervision: 1x part-time PhD student × 48h/FTE; 1x assessor (8h each) = 56.0h; Grant MOSAICO: 10% of 1642h = 164.2h; Grant SCHEME: 10%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734.6039999999999</v>
      </c>
      <c r="D34" s="3" t="n">
        <v>314.7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8 projects x MSc (24h) = 192.0h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318.76</v>
      </c>
      <c r="D35" s="3" t="n">
        <v>47.4</v>
      </c>
      <c r="E35" s="3" t="n">
        <v>131.36</v>
      </c>
      <c r="F35" s="3" t="n">
        <v>140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No research activities recorded</t>
        </is>
      </c>
      <c r="I35" s="4" t="inlineStr">
        <is>
          <t>Engagement (email/meetings): 80.0h; Personal development: 60.0h (FTE: 0.80)</t>
        </is>
      </c>
      <c r="J35" s="5" t="inlineStr">
        <is>
          <t>None</t>
        </is>
      </c>
      <c r="K35" s="5" t="inlineStr">
        <is>
          <t>No administrative roles assigned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901.9333333333333</v>
      </c>
      <c r="D36" s="3" t="n">
        <v>480.6333333333333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816.6</v>
      </c>
      <c r="D37" s="3" t="n">
        <v>395.3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797.3000000000001</v>
      </c>
      <c r="D39" s="3" t="n">
        <v>376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8 projects x MSc (24h) = 192.0h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1797.633333333334</v>
      </c>
      <c r="D40" s="3" t="n">
        <v>281.6333333333333</v>
      </c>
      <c r="E40" s="3" t="n">
        <v>1012.6</v>
      </c>
      <c r="F40" s="3" t="n">
        <v>503.4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40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40" s="4" t="inlineStr">
        <is>
          <t>Other PLs: 5% of 1642h = 82.1h; REF Lead: 5% of 1642h = 82.1h; Research Group Leader: 10% of 1642h = 164.2h;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1296.3</v>
      </c>
      <c r="D41" s="3" t="n">
        <v>312.5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1993.32</v>
      </c>
      <c r="D42" s="3" t="n">
        <v>296.3</v>
      </c>
      <c r="E42" s="3" t="n">
        <v>996.5800000000002</v>
      </c>
      <c r="F42" s="3" t="n">
        <v>700.4400000000001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projects x UG (16h) = 48.0h</t>
        </is>
      </c>
      <c r="H42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42" s="4" t="inlineStr">
        <is>
          <t>Graduate Chair: 20% of 1642h = 328.4h; Research Group Leader: 10% of 1642h = 164.2h;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1702.933333333333</v>
      </c>
      <c r="D44" s="3" t="n">
        <v>250.9333333333333</v>
      </c>
      <c r="E44" s="3" t="n">
        <v>1112.8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44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1010.9</v>
      </c>
      <c r="D45" s="3" t="n">
        <v>484.55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4 projects x UG (16h) = 64.0h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1257.54</v>
      </c>
      <c r="D46" s="3" t="n">
        <v>131</v>
      </c>
      <c r="E46" s="3" t="n">
        <v>918.7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1158</v>
      </c>
      <c r="D47" s="3" t="n">
        <v>378.4</v>
      </c>
      <c r="E47" s="3" t="n">
        <v>358.3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7 projects x MSc (24h) = 168.0h</t>
        </is>
      </c>
      <c r="H47" s="4" t="inlineStr">
        <is>
          <t>PhD supervision: 2x part-time PhD student × 48h/FTE; 2x assessor (8h each) = 112.0h; Grant The Centre for Assuring Autonomy: 5%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657.04</v>
      </c>
      <c r="D48" s="3" t="n">
        <v>3</v>
      </c>
      <c r="E48" s="3" t="n">
        <v>450.52</v>
      </c>
      <c r="F48" s="3" t="n">
        <v>203.52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10% of 985h = 98.5h;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1043.88</v>
      </c>
      <c r="D49" s="3" t="n">
        <v>404.9</v>
      </c>
      <c r="E49" s="3" t="n">
        <v>398.3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7 projects x MSc (24h) = 168.0h</t>
        </is>
      </c>
      <c r="H49" s="4" t="inlineStr">
        <is>
          <t>PhD supervision: 3x part-time PhD student × 48h/FTE; 1x assessor (8h each) = 152.0h; Grant The Centre for Assuring Autonomy: 5% of 1642h = 82.1h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1120.363333333333</v>
      </c>
      <c r="D50" s="3" t="n">
        <v>611.4833333333333</v>
      </c>
      <c r="E50" s="3" t="n">
        <v>268.2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50" s="4" t="inlineStr">
        <is>
          <t>PhD supervision: 2x part-time PhD student × 48h/FTE; 1x assessor (8h each) = 104.0h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648.66</v>
      </c>
      <c r="D52" s="3" t="n">
        <v>377.3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10 projects x MSc (24h) = 240.0h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1365.366666666667</v>
      </c>
      <c r="D53" s="3" t="n">
        <v>383.6666666666666</v>
      </c>
      <c r="E53" s="3" t="n">
        <v>478.3</v>
      </c>
      <c r="F53" s="3" t="n">
        <v>503.4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53" s="4" t="inlineStr">
        <is>
          <t>Deputy Graduate Chair: 10% of 1642h = 164.2h; Research Group Leader: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Burton</t>
        </is>
      </c>
      <c r="B54" s="2" t="n">
        <v>1</v>
      </c>
      <c r="C54" s="3" t="n">
        <v>1020.24</v>
      </c>
      <c r="D54" s="3" t="n">
        <v>53.7</v>
      </c>
      <c r="E54" s="3" t="n">
        <v>791.54</v>
      </c>
      <c r="F54" s="3" t="n">
        <v>175</v>
      </c>
      <c r="G54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4" s="4" t="inlineStr">
        <is>
          <t>PhD supervision: 1x full-time PhD student × 80h/FTE; 2x part-time PhD student × 48h/FTE; 1x assessor (8h each) = 184.0h; Grant Verifiable generation of SOTIF requirements: 2% of 1642h = 32.8h; Grant Moving forward explainable AI by combining different assurance metrics: 15% of 1642h = 246.3h; Grant AI safety argumentation review: 5% of 1642h = 82.1h; Grant KTP with DNV Services Ltd - Innovate part: 3% of 1642h = 49.3h; Grant KTP with DNV Services Ltd - Industry part: 2% of 1642h = 32.8h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Simon Foster</t>
        </is>
      </c>
      <c r="B55" s="2" t="n">
        <v>1</v>
      </c>
      <c r="C55" s="3" t="n">
        <v>855.1166666666666</v>
      </c>
      <c r="D55" s="3" t="n">
        <v>403.9166666666666</v>
      </c>
      <c r="E55" s="3" t="n">
        <v>276.2</v>
      </c>
      <c r="F55" s="3" t="n">
        <v>175</v>
      </c>
      <c r="G55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4 projects x UG (16h) = 64.0h</t>
        </is>
      </c>
      <c r="H55" s="4" t="inlineStr">
        <is>
          <t>PhD supervision: 2x part-time PhD student × 48h/FTE; 2x assessor (8h each) = 112.0h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Simos Gerasimou</t>
        </is>
      </c>
      <c r="B56" s="2" t="n">
        <v>1</v>
      </c>
      <c r="C56" s="3" t="n">
        <v>1309.68</v>
      </c>
      <c r="D56" s="3" t="n">
        <v>0</v>
      </c>
      <c r="E56" s="3" t="n">
        <v>1101.84</v>
      </c>
      <c r="F56" s="3" t="n">
        <v>207.84</v>
      </c>
      <c r="G56" s="4" t="inlineStr"/>
      <c r="H56" s="4" t="inlineStr">
        <is>
          <t>PhD supervision: 1x full-time PhD student × 80h/FTE; 3x part-time PhD student × 48h/FTE; 3x assessor (8h each) = 248.0h; Grant Human-centric Digital Twin Approaches to Trustworthy AI and Robotics for Improved Working Conditions: 12% of 1642h = 197.0h; Grant Socially-Acceptable and Trustworthy Human-Robot Teaming for Agile Industries (SYMPHONY Resubmission): 10% of 1642h = 164.2h; Grant GuardAI ( Enhancing Robustness and Security of Edge AI Systems for Safety-Critical Applications): 15% of 1642h = 246.3h; Grant MOSAICO: 5% of 1642h = 82.1h</t>
        </is>
      </c>
      <c r="I56" s="4" t="inlineStr">
        <is>
          <t>Research Mentor: 2% of 1642h = 32.8h;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  <c r="L56" s="5" t="inlineStr">
        <is>
          <t>None</t>
        </is>
      </c>
    </row>
    <row r="57">
      <c r="A57" s="2" t="inlineStr">
        <is>
          <t>Soumya Banerjee</t>
        </is>
      </c>
      <c r="B57" s="2" t="n">
        <v>1</v>
      </c>
      <c r="C57" s="3" t="n">
        <v>919.8333333333334</v>
      </c>
      <c r="D57" s="3" t="n">
        <v>416.4333333333333</v>
      </c>
      <c r="E57" s="3" t="n">
        <v>164.2</v>
      </c>
      <c r="F57" s="3" t="n">
        <v>339.2</v>
      </c>
      <c r="G57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57" s="4" t="inlineStr">
        <is>
          <t>No research activities recorded</t>
        </is>
      </c>
      <c r="I57" s="4" t="inlineStr">
        <is>
          <t>Mumbai Campus Partnership Leader: 10% of 1642h = 164.2h; Engagement (email/meetings): 100.0h; Personal development: 75.0h (FTE: 1.00)</t>
        </is>
      </c>
      <c r="J57" s="5" t="inlineStr">
        <is>
          <t>None</t>
        </is>
      </c>
      <c r="K57" s="5" t="inlineStr">
        <is>
          <t>LLMA: no student numbers in CS Module Numbers.csv - marking hours estimated from a default of 100 students</t>
        </is>
      </c>
      <c r="L57" s="5" t="inlineStr">
        <is>
          <t>None</t>
        </is>
      </c>
    </row>
    <row r="58">
      <c r="A58" s="2" t="inlineStr">
        <is>
          <t>Stefano Pirandola</t>
        </is>
      </c>
      <c r="B58" s="2" t="n">
        <v>1</v>
      </c>
      <c r="C58" s="3" t="n">
        <v>1380.45</v>
      </c>
      <c r="D58" s="3" t="n">
        <v>274.55</v>
      </c>
      <c r="E58" s="3" t="n">
        <v>520.4000000000001</v>
      </c>
      <c r="F58" s="3" t="n">
        <v>585.5</v>
      </c>
      <c r="G58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5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8" s="4" t="inlineStr">
        <is>
          <t>Progression Panel Chair: 15% of 1642h = 246.3h; Research Group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Wright</t>
        </is>
      </c>
      <c r="B59" s="2" t="n">
        <v>1</v>
      </c>
      <c r="C59" s="3" t="n">
        <v>1353.8</v>
      </c>
      <c r="D59" s="3" t="n">
        <v>234</v>
      </c>
      <c r="E59" s="3" t="n">
        <v>452.2</v>
      </c>
      <c r="F59" s="3" t="n">
        <v>667.5999999999999</v>
      </c>
      <c r="G59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9" s="4" t="inlineStr">
        <is>
          <t>PhD supervision: 3x full-time PhD student × 80h/FTE; 1x part-time PhD student × 48h/FTE = 288.0h</t>
        </is>
      </c>
      <c r="I59" s="4" t="inlineStr">
        <is>
          <t>CBoE (on-campus): 30% of 1642h = 492.6h;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Xiaotian Dai</t>
        </is>
      </c>
      <c r="B60" s="2" t="n">
        <v>1</v>
      </c>
      <c r="C60" s="3" t="n">
        <v>1190.5</v>
      </c>
      <c r="D60" s="3" t="n">
        <v>336.8</v>
      </c>
      <c r="E60" s="3" t="n">
        <v>350.3</v>
      </c>
      <c r="F60" s="3" t="n">
        <v>503.4</v>
      </c>
      <c r="G60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60" s="4" t="inlineStr">
        <is>
          <t>PhD supervision: 2x part-time PhD student × 48h/FTE; 1x assessor (8h each) = 104.0h; Grant SCHEME: 5% of 1642h = 82.1h</t>
        </is>
      </c>
      <c r="I60" s="4" t="inlineStr">
        <is>
          <t>Student Disability Representative: 20% of 1642h = 328.4h;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Tommy Yuan</t>
        </is>
      </c>
      <c r="B61" s="2" t="n">
        <v>1</v>
      </c>
      <c r="C61" s="3" t="n">
        <v>1557.546666666667</v>
      </c>
      <c r="D61" s="3" t="n">
        <v>624.2666666666667</v>
      </c>
      <c r="E61" s="3" t="n">
        <v>364.2</v>
      </c>
      <c r="F61" s="3" t="n">
        <v>569.08</v>
      </c>
      <c r="G61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61" s="4" t="inlineStr">
        <is>
          <t>PhD supervision: 1x full-time PhD student × 80h/FTE; 2x part-time PhD student × 48h/FTE; 3x assessor (8h each) = 200.0h</t>
        </is>
      </c>
      <c r="I61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1" s="5" t="inlineStr">
        <is>
          <t>None</t>
        </is>
      </c>
      <c r="K61" s="5" t="inlineStr">
        <is>
          <t>ARIA: no student numbers in CS Module Numbers.csv - marking hours estimated from a default of 100 students</t>
        </is>
      </c>
      <c r="L61" s="5" t="inlineStr">
        <is>
          <t>None</t>
        </is>
      </c>
    </row>
    <row r="62">
      <c r="A62" s="2" t="inlineStr">
        <is>
          <t>Vasileios Vasilakis</t>
        </is>
      </c>
      <c r="B62" s="2" t="n">
        <v>1</v>
      </c>
      <c r="C62" s="3" t="n">
        <v>1103.9</v>
      </c>
      <c r="D62" s="3" t="n">
        <v>408.5</v>
      </c>
      <c r="E62" s="3" t="n">
        <v>356.2</v>
      </c>
      <c r="F62" s="3" t="n">
        <v>339.2</v>
      </c>
      <c r="G62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7 projects x MSc (24h) = 168.0h</t>
        </is>
      </c>
      <c r="H62" s="4" t="inlineStr">
        <is>
          <t>PhD supervision: 1x full-time PhD student × 80h/FTE; 2x part-time PhD student × 48h/FTE; 2x assessor (8h each) = 192.0h</t>
        </is>
      </c>
      <c r="I62" s="4" t="inlineStr">
        <is>
          <t>Deputy CBoEs: 10% of 1642h = 164.2h;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William Smith</t>
        </is>
      </c>
      <c r="B63" s="2" t="n">
        <v>1</v>
      </c>
      <c r="C63" s="3" t="n">
        <v>1490.316666666667</v>
      </c>
      <c r="D63" s="3" t="n">
        <v>351.7666666666667</v>
      </c>
      <c r="E63" s="3" t="n">
        <v>676.2</v>
      </c>
      <c r="F63" s="3" t="n">
        <v>462.35</v>
      </c>
      <c r="G63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projects x UG (16h) = 80.0h</t>
        </is>
      </c>
      <c r="H63" s="4" t="inlineStr">
        <is>
          <t>PhD supervision: 4x full-time PhD student × 80h/FTE; 3x part-time PhD student × 48h/FTE; 6x assessor (8h each) = 512.0h</t>
        </is>
      </c>
      <c r="I63" s="4" t="inlineStr">
        <is>
          <t>Director of Admissions: 5% of 1642h = 82.1h; Internally Distributed Funding panel reviewer: 2% of 1642h = 41.1h; Research Group Leader: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Xinwei Fang</t>
        </is>
      </c>
      <c r="B64" s="2" t="n">
        <v>1</v>
      </c>
      <c r="C64" s="3" t="n">
        <v>925.1</v>
      </c>
      <c r="D64" s="3" t="n">
        <v>423.8</v>
      </c>
      <c r="E64" s="3" t="n">
        <v>244.2</v>
      </c>
      <c r="F64" s="3" t="n">
        <v>257.1</v>
      </c>
      <c r="G64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64" s="4" t="inlineStr">
        <is>
          <t>PhD supervision: 1x full-time PhD student × 80h/FTE = 80.0h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Yan Jia</t>
        </is>
      </c>
      <c r="B65" s="2" t="n">
        <v>1</v>
      </c>
      <c r="C65" s="3" t="n">
        <v>1169.1</v>
      </c>
      <c r="D65" s="3" t="n">
        <v>27</v>
      </c>
      <c r="E65" s="3" t="n">
        <v>638.7</v>
      </c>
      <c r="F65" s="3" t="n">
        <v>503.4</v>
      </c>
      <c r="G65" s="4" t="inlineStr">
        <is>
          <t>; Pastoral: 9 students x 3h = 27.0h; Also teaches: Designing Safe AI (Safe AI 2), Foundations of Safe AI (Safe AI 1) (SAINTS - not included in workload)</t>
        </is>
      </c>
      <c r="H6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65" s="4" t="inlineStr">
        <is>
          <t>Ethics Committee Member: 20% of 1642h = 328.4h;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Yuchen Zhao</t>
        </is>
      </c>
      <c r="B66" s="2" t="n">
        <v>1</v>
      </c>
      <c r="C66" s="3" t="n">
        <v>856.5</v>
      </c>
      <c r="D66" s="3" t="n">
        <v>419.2</v>
      </c>
      <c r="E66" s="3" t="n">
        <v>180.2</v>
      </c>
      <c r="F66" s="3" t="n">
        <v>257.1</v>
      </c>
      <c r="G66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66" s="4" t="inlineStr">
        <is>
          <t>PhD supervision: 2x assessor (8h each) = 16.0h</t>
        </is>
      </c>
      <c r="I66" s="4" t="inlineStr">
        <is>
          <t>Other PLs: 5% of 1642h = 82.1h;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427.5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351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303.8333333333333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339.2</v>
      </c>
      <c r="E5" s="7">
        <f>SUM(B5:D5)</f>
        <v/>
      </c>
    </row>
    <row r="6">
      <c r="A6" t="inlineStr">
        <is>
          <t>Andrew Pomfret</t>
        </is>
      </c>
      <c r="B6" s="7" t="n">
        <v>459.6333333333333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423.5333333333333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212.8666666666667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401.4</v>
      </c>
      <c r="C12" s="7" t="n">
        <v>579.76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317.8333333333334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444.8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405.3833333333333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1114.9</v>
      </c>
      <c r="D18" s="7" t="n">
        <v>372.04</v>
      </c>
      <c r="E18" s="7">
        <f>SUM(B18:D18)</f>
        <v/>
      </c>
    </row>
    <row r="19">
      <c r="A19" t="inlineStr">
        <is>
          <t>Fang Yan</t>
        </is>
      </c>
      <c r="B19" s="7" t="n">
        <v>214.4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1794.42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588.6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407.5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309.8666666666667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355.7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297.7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1539.7</v>
      </c>
      <c r="D30" s="7" t="n">
        <v>339.2</v>
      </c>
      <c r="E30" s="7">
        <f>SUM(B30:D30)</f>
        <v/>
      </c>
    </row>
    <row r="31">
      <c r="A31" t="inlineStr">
        <is>
          <t>Katrina Attwood</t>
        </is>
      </c>
      <c r="B31" s="7" t="n">
        <v>454.6333333333333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395.8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429</v>
      </c>
      <c r="C33" s="7" t="n">
        <v>548.6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314.7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131.36</v>
      </c>
      <c r="D35" s="7" t="n">
        <v>140</v>
      </c>
      <c r="E35" s="7">
        <f>SUM(B35:D35)</f>
        <v/>
      </c>
    </row>
    <row r="36">
      <c r="A36" t="inlineStr">
        <is>
          <t>Mike Freeman</t>
        </is>
      </c>
      <c r="B36" s="7" t="n">
        <v>480.6333333333333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395.3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376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281.6333333333333</v>
      </c>
      <c r="C40" s="7" t="n">
        <v>1012.6</v>
      </c>
      <c r="D40" s="7" t="n">
        <v>503.4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296.3</v>
      </c>
      <c r="C42" s="7" t="n">
        <v>996.5800000000002</v>
      </c>
      <c r="D42" s="7" t="n">
        <v>700.4400000000001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250.9333333333333</v>
      </c>
      <c r="C44" s="7" t="n">
        <v>1112.8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484.55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918.7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378.4</v>
      </c>
      <c r="C47" s="7" t="n">
        <v>358.3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203.52</v>
      </c>
      <c r="E48" s="7">
        <f>SUM(B48:D48)</f>
        <v/>
      </c>
    </row>
    <row r="49">
      <c r="A49" t="inlineStr">
        <is>
          <t>Rob Alexander</t>
        </is>
      </c>
      <c r="B49" s="7" t="n">
        <v>404.9</v>
      </c>
      <c r="C49" s="7" t="n">
        <v>398.3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611.4833333333333</v>
      </c>
      <c r="C50" s="7" t="n">
        <v>268.2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377.3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383.6666666666666</v>
      </c>
      <c r="C53" s="7" t="n">
        <v>478.3</v>
      </c>
      <c r="D53" s="7" t="n">
        <v>503.4</v>
      </c>
      <c r="E53" s="7">
        <f>SUM(B53:D53)</f>
        <v/>
      </c>
    </row>
    <row r="54">
      <c r="A54" t="inlineStr">
        <is>
          <t>Simon Burton</t>
        </is>
      </c>
      <c r="B54" s="7" t="n">
        <v>53.7</v>
      </c>
      <c r="C54" s="7" t="n">
        <v>791.54</v>
      </c>
      <c r="D54" s="7" t="n">
        <v>175</v>
      </c>
      <c r="E54" s="7">
        <f>SUM(B54:D54)</f>
        <v/>
      </c>
    </row>
    <row r="55">
      <c r="A55" t="inlineStr">
        <is>
          <t>Simon Foster</t>
        </is>
      </c>
      <c r="B55" s="7" t="n">
        <v>403.9166666666666</v>
      </c>
      <c r="C55" s="7" t="n">
        <v>276.2</v>
      </c>
      <c r="D55" s="7" t="n">
        <v>175</v>
      </c>
      <c r="E55" s="7">
        <f>SUM(B55:D55)</f>
        <v/>
      </c>
    </row>
    <row r="56">
      <c r="A56" t="inlineStr">
        <is>
          <t>Simos Gerasimou</t>
        </is>
      </c>
      <c r="B56" s="7" t="n">
        <v>0</v>
      </c>
      <c r="C56" s="7" t="n">
        <v>1101.84</v>
      </c>
      <c r="D56" s="7" t="n">
        <v>207.84</v>
      </c>
      <c r="E56" s="7">
        <f>SUM(B56:D56)</f>
        <v/>
      </c>
    </row>
    <row r="57">
      <c r="A57" t="inlineStr">
        <is>
          <t>Soumya Banerjee</t>
        </is>
      </c>
      <c r="B57" s="7" t="n">
        <v>416.4333333333333</v>
      </c>
      <c r="C57" s="7" t="n">
        <v>164.2</v>
      </c>
      <c r="D57" s="7" t="n">
        <v>339.2</v>
      </c>
      <c r="E57" s="7">
        <f>SUM(B57:D57)</f>
        <v/>
      </c>
    </row>
    <row r="58">
      <c r="A58" t="inlineStr">
        <is>
          <t>Stefano Pirandola</t>
        </is>
      </c>
      <c r="B58" s="7" t="n">
        <v>274.55</v>
      </c>
      <c r="C58" s="7" t="n">
        <v>520.4000000000001</v>
      </c>
      <c r="D58" s="7" t="n">
        <v>585.5</v>
      </c>
      <c r="E58" s="7">
        <f>SUM(B58:D58)</f>
        <v/>
      </c>
    </row>
    <row r="59">
      <c r="A59" t="inlineStr">
        <is>
          <t>Steven Wright</t>
        </is>
      </c>
      <c r="B59" s="7" t="n">
        <v>234</v>
      </c>
      <c r="C59" s="7" t="n">
        <v>452.2</v>
      </c>
      <c r="D59" s="7" t="n">
        <v>667.5999999999999</v>
      </c>
      <c r="E59" s="7">
        <f>SUM(B59:D59)</f>
        <v/>
      </c>
    </row>
    <row r="60">
      <c r="A60" t="inlineStr">
        <is>
          <t>Steven Xiaotian Dai</t>
        </is>
      </c>
      <c r="B60" s="7" t="n">
        <v>336.8</v>
      </c>
      <c r="C60" s="7" t="n">
        <v>350.3</v>
      </c>
      <c r="D60" s="7" t="n">
        <v>503.4</v>
      </c>
      <c r="E60" s="7">
        <f>SUM(B60:D60)</f>
        <v/>
      </c>
    </row>
    <row r="61">
      <c r="A61" t="inlineStr">
        <is>
          <t>Tommy Yuan</t>
        </is>
      </c>
      <c r="B61" s="7" t="n">
        <v>624.2666666666667</v>
      </c>
      <c r="C61" s="7" t="n">
        <v>364.2</v>
      </c>
      <c r="D61" s="7" t="n">
        <v>569.08</v>
      </c>
      <c r="E61" s="7">
        <f>SUM(B61:D61)</f>
        <v/>
      </c>
    </row>
    <row r="62">
      <c r="A62" t="inlineStr">
        <is>
          <t>Vasileios Vasilakis</t>
        </is>
      </c>
      <c r="B62" s="7" t="n">
        <v>408.5</v>
      </c>
      <c r="C62" s="7" t="n">
        <v>356.2</v>
      </c>
      <c r="D62" s="7" t="n">
        <v>339.2</v>
      </c>
      <c r="E62" s="7">
        <f>SUM(B62:D62)</f>
        <v/>
      </c>
    </row>
    <row r="63">
      <c r="A63" t="inlineStr">
        <is>
          <t>William Smith</t>
        </is>
      </c>
      <c r="B63" s="7" t="n">
        <v>351.7666666666667</v>
      </c>
      <c r="C63" s="7" t="n">
        <v>676.2</v>
      </c>
      <c r="D63" s="7" t="n">
        <v>462.35</v>
      </c>
      <c r="E63" s="7">
        <f>SUM(B63:D63)</f>
        <v/>
      </c>
    </row>
    <row r="64">
      <c r="A64" t="inlineStr">
        <is>
          <t>Xinwei Fang</t>
        </is>
      </c>
      <c r="B64" s="7" t="n">
        <v>423.8</v>
      </c>
      <c r="C64" s="7" t="n">
        <v>244.2</v>
      </c>
      <c r="D64" s="7" t="n">
        <v>257.1</v>
      </c>
      <c r="E64" s="7">
        <f>SUM(B64:D64)</f>
        <v/>
      </c>
    </row>
    <row r="65">
      <c r="A65" t="inlineStr">
        <is>
          <t>Yan Jia</t>
        </is>
      </c>
      <c r="B65" s="7" t="n">
        <v>27</v>
      </c>
      <c r="C65" s="7" t="n">
        <v>638.7</v>
      </c>
      <c r="D65" s="7" t="n">
        <v>503.4</v>
      </c>
      <c r="E65" s="7">
        <f>SUM(B65:D65)</f>
        <v/>
      </c>
    </row>
    <row r="66">
      <c r="A66" t="inlineStr">
        <is>
          <t>Yuchen Zhao</t>
        </is>
      </c>
      <c r="B66" s="7" t="n">
        <v>419.2</v>
      </c>
      <c r="C66" s="7" t="n">
        <v>180.2</v>
      </c>
      <c r="D66" s="7" t="n">
        <v>257.1</v>
      </c>
      <c r="E66" s="7">
        <f>SUM(B66:D66)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2026-08-18T13:23:29Z</dcterms:created>
  <dcterms:modified xmlns:dcterms="http://purl.org/dc/terms/" xmlns:xsi="http://www.w3.org/2001/XMLSchema-instance" xsi:type="dcterms:W3CDTF">2026-08-18T13:23:29Z</dcterms:modified>
</cp:coreProperties>
</file>