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Radu Calinescu</t>
        </is>
      </c>
      <c r="B2" s="2" t="n">
        <v>1</v>
      </c>
      <c r="C2" s="3" t="n">
        <v>1280.13</v>
      </c>
      <c r="D2" s="3" t="n">
        <v>186.43</v>
      </c>
      <c r="E2" s="3" t="n">
        <v>918.7</v>
      </c>
      <c r="F2" s="3" t="n">
        <v>175</v>
      </c>
      <c r="G2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2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2" s="4" t="inlineStr">
        <is>
          <t>Engagement (email/meetings): 100.0h; Personal development: 75.0h (FTE: 1.00)</t>
        </is>
      </c>
      <c r="J2" s="5" t="inlineStr">
        <is>
          <t>None</t>
        </is>
      </c>
      <c r="K2" s="5" t="inlineStr">
        <is>
          <t>No administrative roles assigned</t>
        </is>
      </c>
    </row>
    <row r="3">
      <c r="A3" s="2" t="inlineStr">
        <is>
          <t>Yuchen Zhao</t>
        </is>
      </c>
      <c r="B3" s="2" t="n">
        <v>1</v>
      </c>
      <c r="C3" s="3" t="n">
        <v>1203.65</v>
      </c>
      <c r="D3" s="3" t="n">
        <v>766.35</v>
      </c>
      <c r="E3" s="3" t="n">
        <v>180.2</v>
      </c>
      <c r="F3" s="3" t="n">
        <v>257.1</v>
      </c>
      <c r="G3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25 students x 3h = 75.0h; Projects: 7 projects x UG (16h) = 112.0h</t>
        </is>
      </c>
      <c r="H3" s="4" t="inlineStr">
        <is>
          <t>PhD supervision: 2x assessor (8h each) = 16.0h</t>
        </is>
      </c>
      <c r="I3" s="4" t="inlineStr">
        <is>
          <t>Other PLs: 5% of 1642h = 82.1h;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Carlo Ottaviani</t>
        </is>
      </c>
      <c r="B4" s="2" t="n">
        <v>1</v>
      </c>
      <c r="C4" s="3" t="n">
        <v>1270.281666666667</v>
      </c>
      <c r="D4" s="3" t="n">
        <v>662.8816666666667</v>
      </c>
      <c r="E4" s="3" t="n">
        <v>268.2</v>
      </c>
      <c r="F4" s="3" t="n">
        <v>339.2</v>
      </c>
      <c r="G4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4" s="4" t="inlineStr">
        <is>
          <t>PhD supervision: 1x full-time PhD student × 80h/FTE; 3x assessor (8h each) = 104.0h</t>
        </is>
      </c>
      <c r="I4" s="4" t="inlineStr">
        <is>
          <t>Progression Panel: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Stefano Pirandola</t>
        </is>
      </c>
      <c r="B5" s="2" t="n">
        <v>1</v>
      </c>
      <c r="C5" s="3" t="n">
        <v>1752.515</v>
      </c>
      <c r="D5" s="3" t="n">
        <v>810.8150000000001</v>
      </c>
      <c r="E5" s="3" t="n">
        <v>520.4000000000001</v>
      </c>
      <c r="F5" s="3" t="n">
        <v>421.3</v>
      </c>
      <c r="G5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5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" s="4" t="inlineStr">
        <is>
          <t>Progression Panel Chair: 15% of 1642h = 246.3h;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Nick Pears</t>
        </is>
      </c>
      <c r="B6" s="2" t="n">
        <v>1</v>
      </c>
      <c r="C6" s="3" t="n">
        <v>1632.513333333333</v>
      </c>
      <c r="D6" s="3" t="n">
        <v>372.5133333333333</v>
      </c>
      <c r="E6" s="3" t="n">
        <v>428.2</v>
      </c>
      <c r="F6" s="3" t="n">
        <v>831.8000000000001</v>
      </c>
      <c r="G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6" s="4" t="inlineStr">
        <is>
          <t>PhD supervision: 1x full-time PhD student × 80h/FTE; 3x part-time PhD student × 48h/FTE; 5x assessor (8h each) = 264.0h</t>
        </is>
      </c>
      <c r="I6" s="4" t="inlineStr">
        <is>
          <t>Deputy Head (Research): 40% of 1642h = 656.8h;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</row>
    <row r="7">
      <c r="A7" s="2" t="inlineStr">
        <is>
          <t>Jo Iacovides</t>
        </is>
      </c>
      <c r="B7" s="2" t="n">
        <v>1</v>
      </c>
      <c r="C7" s="3" t="n">
        <v>1697.755</v>
      </c>
      <c r="D7" s="3" t="n">
        <v>1010.355</v>
      </c>
      <c r="E7" s="3" t="n">
        <v>348.2</v>
      </c>
      <c r="F7" s="3" t="n">
        <v>339.2</v>
      </c>
      <c r="G7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12 students x 3h = 36.0h; Projects: 7 projects x UG (16h) = 112.0h</t>
        </is>
      </c>
      <c r="H7" s="4" t="inlineStr">
        <is>
          <t>PhD supervision: 3x part-time PhD student × 48h/FTE; 5x assessor (8h each) = 184.0h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Module had 0 students - marking not calculated</t>
        </is>
      </c>
      <c r="K7" s="5" t="inlineStr">
        <is>
          <t>None</t>
        </is>
      </c>
    </row>
    <row r="8">
      <c r="A8" s="2" t="inlineStr">
        <is>
          <t>Soumya Banerjee</t>
        </is>
      </c>
      <c r="B8" s="2" t="n">
        <v>1</v>
      </c>
      <c r="C8" s="3" t="n">
        <v>1461.04</v>
      </c>
      <c r="D8" s="3" t="n">
        <v>1121.84</v>
      </c>
      <c r="E8" s="3" t="n">
        <v>164.2</v>
      </c>
      <c r="F8" s="3" t="n">
        <v>175</v>
      </c>
      <c r="G8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8" s="4" t="inlineStr">
        <is>
          <t>No research activities recorded</t>
        </is>
      </c>
      <c r="I8" s="4" t="inlineStr">
        <is>
          <t>Engagement (email/meetings): 100.0h; Personal development: 75.0h (FTE: 1.00)</t>
        </is>
      </c>
      <c r="J8" s="5" t="inlineStr">
        <is>
          <t>Module had 0 students - marking not calculated</t>
        </is>
      </c>
      <c r="K8" s="5" t="inlineStr">
        <is>
          <t>No administrative roles assigned</t>
        </is>
      </c>
    </row>
    <row r="9">
      <c r="A9" s="2" t="inlineStr">
        <is>
          <t>Claudio Guarnera</t>
        </is>
      </c>
      <c r="B9" s="2" t="n">
        <v>1</v>
      </c>
      <c r="C9" s="3" t="n">
        <v>987.24</v>
      </c>
      <c r="D9" s="3" t="n">
        <v>536.04</v>
      </c>
      <c r="E9" s="3" t="n">
        <v>276.2</v>
      </c>
      <c r="F9" s="3" t="n">
        <v>175</v>
      </c>
      <c r="G9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9" s="4" t="inlineStr">
        <is>
          <t>PhD supervision: 2x part-time PhD student × 48h/FTE; 2x assessor (8h each) = 112.0h</t>
        </is>
      </c>
      <c r="I9" s="4" t="inlineStr">
        <is>
          <t>Engagement (email/meetings): 100.0h; Personal development: 75.0h (FTE: 1.00)</t>
        </is>
      </c>
      <c r="J9" s="5" t="inlineStr">
        <is>
          <t>None</t>
        </is>
      </c>
      <c r="K9" s="5" t="inlineStr">
        <is>
          <t>No administrative roles assigned</t>
        </is>
      </c>
    </row>
    <row r="10">
      <c r="A10" s="2" t="inlineStr">
        <is>
          <t>Sam Braunstein</t>
        </is>
      </c>
      <c r="B10" s="2" t="n">
        <v>1</v>
      </c>
      <c r="C10" s="3" t="n">
        <v>1151.591666666667</v>
      </c>
      <c r="D10" s="3" t="n">
        <v>812.3916666666668</v>
      </c>
      <c r="E10" s="3" t="n">
        <v>164.2</v>
      </c>
      <c r="F10" s="3" t="n">
        <v>175</v>
      </c>
      <c r="G10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4 students x 3h = 12.0h; Projects: 7 projects x UG (16h) = 112.0h</t>
        </is>
      </c>
      <c r="H10" s="4" t="inlineStr">
        <is>
          <t>No research activities recorded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Kofi Appiah</t>
        </is>
      </c>
      <c r="B11" s="2" t="n">
        <v>1</v>
      </c>
      <c r="C11" s="3" t="n">
        <v>1639.35</v>
      </c>
      <c r="D11" s="3" t="n">
        <v>861.85</v>
      </c>
      <c r="E11" s="3" t="n">
        <v>356.2</v>
      </c>
      <c r="F11" s="3" t="n">
        <v>421.3</v>
      </c>
      <c r="G11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11" s="4" t="inlineStr">
        <is>
          <t>PhD supervision: 1x full-time PhD student × 80h/FTE; 2x part-time PhD student × 48h/FTE; 2x assessor (8h each) = 192.0h</t>
        </is>
      </c>
      <c r="I11" s="4" t="inlineStr">
        <is>
          <t>Deputy Director of Admissions (UG Admissions): 15% of 1642h = 246.3h; Engagement (email/meetings): 100.0h; Personal development: 75.0h (FTE: 1.00)</t>
        </is>
      </c>
      <c r="J11" s="5" t="inlineStr">
        <is>
          <t>None</t>
        </is>
      </c>
      <c r="K11" s="5" t="inlineStr">
        <is>
          <t>None</t>
        </is>
      </c>
    </row>
    <row r="12">
      <c r="A12" s="2" t="inlineStr">
        <is>
          <t>Alvaro Miyazawa</t>
        </is>
      </c>
      <c r="B12" s="2" t="n">
        <v>1</v>
      </c>
      <c r="C12" s="3" t="n">
        <v>1202.95</v>
      </c>
      <c r="D12" s="3" t="n">
        <v>595.55</v>
      </c>
      <c r="E12" s="3" t="n">
        <v>268.2</v>
      </c>
      <c r="F12" s="3" t="n">
        <v>339.2</v>
      </c>
      <c r="G12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13 students x 3h = 39.0h; Projects: 3 projects x UG (16h) = 48.0h</t>
        </is>
      </c>
      <c r="H12" s="4" t="inlineStr">
        <is>
          <t>PhD supervision: 2x part-time PhD student × 48h/FTE; 1x assessor (8h each) = 104.0h</t>
        </is>
      </c>
      <c r="I12" s="4" t="inlineStr">
        <is>
          <t>Deputy CBoEs: 10% of 1642h = 164.2h; Engagement (email/meetings): 100.0h; Personal development: 75.0h (FTE: 1.00)</t>
        </is>
      </c>
      <c r="J12" s="5" t="inlineStr">
        <is>
          <t>None</t>
        </is>
      </c>
      <c r="K12" s="5" t="inlineStr">
        <is>
          <t>None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Andrew Pomfret</t>
        </is>
      </c>
      <c r="B14" s="2" t="n">
        <v>1</v>
      </c>
      <c r="C14" s="3" t="n">
        <v>1257.443333333334</v>
      </c>
      <c r="D14" s="3" t="n">
        <v>836.1433333333334</v>
      </c>
      <c r="E14" s="3" t="n">
        <v>164.2</v>
      </c>
      <c r="F14" s="3" t="n">
        <v>257.1</v>
      </c>
      <c r="G14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14" s="4" t="inlineStr">
        <is>
          <t>No research activities recorded</t>
        </is>
      </c>
      <c r="I14" s="4" t="inlineStr">
        <is>
          <t>Academic Admissions Team: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Jacob Rigby</t>
        </is>
      </c>
      <c r="B15" s="2" t="n">
        <v>1</v>
      </c>
      <c r="C15" s="3" t="n">
        <v>1302.28</v>
      </c>
      <c r="D15" s="3" t="n">
        <v>716.78</v>
      </c>
      <c r="E15" s="3" t="n">
        <v>246.3</v>
      </c>
      <c r="F15" s="3" t="n">
        <v>339.2</v>
      </c>
      <c r="G15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15" s="4" t="inlineStr">
        <is>
          <t>Grant EPSRC: Addressing environmental injustices through transdisciplinary science and technology: 5% of 1642h = 82.1h</t>
        </is>
      </c>
      <c r="I15" s="4" t="inlineStr">
        <is>
          <t>Taught Project Coordinator: 10% of 1642h = 164.2h;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Ian Gray</t>
        </is>
      </c>
      <c r="B16" s="2" t="n">
        <v>1</v>
      </c>
      <c r="C16" s="3" t="n">
        <v>1769.61</v>
      </c>
      <c r="D16" s="3" t="n">
        <v>425.41</v>
      </c>
      <c r="E16" s="3" t="n">
        <v>348.2</v>
      </c>
      <c r="F16" s="3" t="n">
        <v>996</v>
      </c>
      <c r="G16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16" s="4" t="inlineStr">
        <is>
          <t>PhD supervision: 1x full-time PhD student × 80h/FTE; 2x part-time PhD student × 48h/FTE; 1x assessor (8h each) = 184.0h</t>
        </is>
      </c>
      <c r="I16" s="4" t="inlineStr">
        <is>
          <t>Deputy Head of Department (On-campus teaching): 50% of 1642h = 821.0h;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</row>
    <row r="17">
      <c r="A17" s="2" t="inlineStr">
        <is>
          <t>Steven Wright</t>
        </is>
      </c>
      <c r="B17" s="2" t="n">
        <v>1</v>
      </c>
      <c r="C17" s="3" t="n">
        <v>1167.91</v>
      </c>
      <c r="D17" s="3" t="n">
        <v>540.71</v>
      </c>
      <c r="E17" s="3" t="n">
        <v>452.2</v>
      </c>
      <c r="F17" s="3" t="n">
        <v>175</v>
      </c>
      <c r="G17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17" s="4" t="inlineStr">
        <is>
          <t>PhD supervision: 3x full-time PhD student × 80h/FTE; 1x part-time PhD student × 48h/FTE = 288.0h</t>
        </is>
      </c>
      <c r="I17" s="4" t="inlineStr">
        <is>
          <t>Chair of the Board of Examiners: 0% of 1642h = 0.0h; Engagement (email/meetings): 100.0h; Personal development: 75.0h (FTE: 1.00)</t>
        </is>
      </c>
      <c r="J17" s="5" t="inlineStr">
        <is>
          <t>None</t>
        </is>
      </c>
      <c r="K17" s="5" t="inlineStr">
        <is>
          <t>None</t>
        </is>
      </c>
    </row>
    <row r="18">
      <c r="A18" s="2" t="inlineStr">
        <is>
          <t>William Smith</t>
        </is>
      </c>
      <c r="B18" s="2" t="n">
        <v>1</v>
      </c>
      <c r="C18" s="3" t="n">
        <v>1992.76</v>
      </c>
      <c r="D18" s="3" t="n">
        <v>1018.41</v>
      </c>
      <c r="E18" s="3" t="n">
        <v>676.2</v>
      </c>
      <c r="F18" s="3" t="n">
        <v>298.15</v>
      </c>
      <c r="G18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Project setting (fixed): 6.0h; Pastoral: 7 students x 3h = 21.0h; Projects: 5 projects x UG (16h) = 80.0h</t>
        </is>
      </c>
      <c r="H18" s="4" t="inlineStr">
        <is>
          <t>PhD supervision: 4x full-time PhD student × 80h/FTE; 3x part-time PhD student × 48h/FTE; 6x assessor (8h each) = 512.0h</t>
        </is>
      </c>
      <c r="I18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18" s="5" t="inlineStr">
        <is>
          <t>Module had 0 students - marking not calculated</t>
        </is>
      </c>
      <c r="K18" s="5" t="inlineStr">
        <is>
          <t>None</t>
        </is>
      </c>
    </row>
    <row r="19">
      <c r="A19" s="2" t="inlineStr">
        <is>
          <t>Joe Cutting</t>
        </is>
      </c>
      <c r="B19" s="2" t="n">
        <v>1</v>
      </c>
      <c r="C19" s="3" t="n">
        <v>1424.235</v>
      </c>
      <c r="D19" s="3" t="n">
        <v>1021.035</v>
      </c>
      <c r="E19" s="3" t="n">
        <v>228.2</v>
      </c>
      <c r="F19" s="3" t="n">
        <v>175</v>
      </c>
      <c r="G19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19" s="4" t="inlineStr">
        <is>
          <t>PhD supervision: 1x part-time PhD student × 48h/FTE; 2x assessor (8h each) = 64.0h</t>
        </is>
      </c>
      <c r="I19" s="4" t="inlineStr">
        <is>
          <t>ECR rep: 0% of 1642h = 0.0h;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Rob Alexander</t>
        </is>
      </c>
      <c r="B20" s="2" t="n">
        <v>1</v>
      </c>
      <c r="C20" s="3" t="n">
        <v>789.1849999999999</v>
      </c>
      <c r="D20" s="3" t="n">
        <v>215.885</v>
      </c>
      <c r="E20" s="3" t="n">
        <v>398.3</v>
      </c>
      <c r="F20" s="3" t="n">
        <v>175</v>
      </c>
      <c r="G20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20" s="4" t="inlineStr">
        <is>
          <t>PhD supervision: 3x part-time PhD student × 48h/FTE; 1x assessor (8h each) = 152.0h; Grant The Centre for Assuring Autonomy: 5% of 1642h = 82.1h</t>
        </is>
      </c>
      <c r="I20" s="4" t="inlineStr">
        <is>
          <t>StAMP committee members: 0% of 1642h = 0.0h;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Paul Cairns</t>
        </is>
      </c>
      <c r="B21" s="2" t="n">
        <v>1</v>
      </c>
      <c r="C21" s="3" t="n">
        <v>2257.945</v>
      </c>
      <c r="D21" s="3" t="n">
        <v>906.145</v>
      </c>
      <c r="E21" s="3" t="n">
        <v>1012.6</v>
      </c>
      <c r="F21" s="3" t="n">
        <v>339.2</v>
      </c>
      <c r="G21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Project setting (fixed): 6.0h; Pastoral: 5 students x 3h = 15.0h; Projects: 1 projects x UG (16h) = 16.0h</t>
        </is>
      </c>
      <c r="H21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21" s="4" t="inlineStr">
        <is>
          <t>Other PLs: 5% of 1642h = 82.1h; REF Lead: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Jen Beeston</t>
        </is>
      </c>
      <c r="B22" s="2" t="n">
        <v>1</v>
      </c>
      <c r="C22" s="3" t="n">
        <v>1537</v>
      </c>
      <c r="D22" s="3" t="n">
        <v>1029.8</v>
      </c>
      <c r="E22" s="3" t="n">
        <v>332.2</v>
      </c>
      <c r="F22" s="3" t="n">
        <v>175</v>
      </c>
      <c r="G22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2" s="4" t="inlineStr">
        <is>
          <t>PhD supervision: 3x part-time PhD student × 48h/FTE; 3x assessor (8h each) = 168.0h</t>
        </is>
      </c>
      <c r="I22" s="4" t="inlineStr">
        <is>
          <t>Chair of the Department Education Committee: 0% of 1642h = 0.0h; Engagement (email/meetings): 100.0h; Personal development: 75.0h (FTE: 1.00)</t>
        </is>
      </c>
      <c r="J22" s="5" t="inlineStr">
        <is>
          <t>Module had 0 students - marking not calculated; Module had 0 students - marking not calculated</t>
        </is>
      </c>
      <c r="K22" s="5" t="inlineStr">
        <is>
          <t>None</t>
        </is>
      </c>
    </row>
    <row r="23">
      <c r="A23" s="2" t="inlineStr">
        <is>
          <t>Alena Denisova</t>
        </is>
      </c>
      <c r="B23" s="2" t="n">
        <v>1</v>
      </c>
      <c r="C23" s="3" t="n">
        <v>2006.015</v>
      </c>
      <c r="D23" s="3" t="n">
        <v>1058.415</v>
      </c>
      <c r="E23" s="3" t="n">
        <v>444.2</v>
      </c>
      <c r="F23" s="3" t="n">
        <v>503.4</v>
      </c>
      <c r="G2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23" s="4" t="inlineStr">
        <is>
          <t>PhD supervision: 1x full-time PhD student × 80h/FTE; 4x part-time PhD student × 48h/FTE; 1x assessor (8h each) = 280.0h</t>
        </is>
      </c>
      <c r="I23" s="4" t="inlineStr">
        <is>
          <t>Ethics Committee Chair: 20% of 1642h = 328.4h; Engagement (email/meetings): 100.0h; Personal development: 75.0h (FTE: 1.00)</t>
        </is>
      </c>
      <c r="J23" s="5" t="inlineStr">
        <is>
          <t>Module had 0 students - marking not calculated</t>
        </is>
      </c>
      <c r="K23" s="5" t="inlineStr">
        <is>
          <t>None</t>
        </is>
      </c>
    </row>
    <row r="24">
      <c r="A24" s="2" t="inlineStr">
        <is>
          <t>Fang Yan</t>
        </is>
      </c>
      <c r="B24" s="2" t="n">
        <v>1</v>
      </c>
      <c r="C24" s="3" t="n">
        <v>800.6800000000001</v>
      </c>
      <c r="D24" s="3" t="n">
        <v>461.48</v>
      </c>
      <c r="E24" s="3" t="n">
        <v>164.2</v>
      </c>
      <c r="F24" s="3" t="n">
        <v>175</v>
      </c>
      <c r="G24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24" s="4" t="inlineStr">
        <is>
          <t>No research activities recorded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Kostas Barmpis</t>
        </is>
      </c>
      <c r="B25" s="2" t="n">
        <v>1</v>
      </c>
      <c r="C25" s="3" t="n">
        <v>1793.433333333333</v>
      </c>
      <c r="D25" s="3" t="n">
        <v>1069.833333333333</v>
      </c>
      <c r="E25" s="3" t="n">
        <v>548.6</v>
      </c>
      <c r="F25" s="3" t="n">
        <v>175</v>
      </c>
      <c r="G25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25" s="4" t="inlineStr">
        <is>
          <t>PhD supervision: 1x part-time PhD student × 48h/FTE; 1x assessor (8h each) = 56.0h; Grant MOSAICO: 10% of 1642h = 164.2h; Grant SCHEME: 10% of 1642h = 164.2h</t>
        </is>
      </c>
      <c r="I25" s="4" t="inlineStr">
        <is>
          <t>PGR Training Officer: 0% of 1642h = 0.0h; Engagement (email/meetings): 100.0h; Personal development: 75.0h (FTE: 1.00)</t>
        </is>
      </c>
      <c r="J25" s="5" t="inlineStr">
        <is>
          <t>Module had 0 students - marking not calculated</t>
        </is>
      </c>
      <c r="K25" s="5" t="inlineStr">
        <is>
          <t>None</t>
        </is>
      </c>
    </row>
    <row r="26">
      <c r="A26" s="2" t="inlineStr">
        <is>
          <t>Steven Xiaotian Dai</t>
        </is>
      </c>
      <c r="B26" s="2" t="n">
        <v>1</v>
      </c>
      <c r="C26" s="3" t="n">
        <v>1822.82</v>
      </c>
      <c r="D26" s="3" t="n">
        <v>969.12</v>
      </c>
      <c r="E26" s="3" t="n">
        <v>350.3</v>
      </c>
      <c r="F26" s="3" t="n">
        <v>503.4</v>
      </c>
      <c r="G26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Project setting (fixed): 6.0h; Pastoral: 15 students x 3h = 45.0h; Projects: 4 projects x UG (16h) = 64.0h</t>
        </is>
      </c>
      <c r="H26" s="4" t="inlineStr">
        <is>
          <t>PhD supervision: 2x part-time PhD student × 48h/FTE; 1x assessor (8h each) = 104.0h; Grant SCHEME: 5% of 1642h = 82.1h</t>
        </is>
      </c>
      <c r="I26" s="4" t="inlineStr">
        <is>
          <t>Student Disability Representative: 20% of 1642h = 328.4h;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Mike Freeman</t>
        </is>
      </c>
      <c r="B27" s="2" t="n">
        <v>1</v>
      </c>
      <c r="C27" s="3" t="n">
        <v>1278.443333333334</v>
      </c>
      <c r="D27" s="3" t="n">
        <v>857.1433333333334</v>
      </c>
      <c r="E27" s="3" t="n">
        <v>164.2</v>
      </c>
      <c r="F27" s="3" t="n">
        <v>257.1</v>
      </c>
      <c r="G27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27" s="4" t="inlineStr">
        <is>
          <t>No research activities recorded</t>
        </is>
      </c>
      <c r="I27" s="4" t="inlineStr">
        <is>
          <t>Academic Admissions Team: 5% of 1642h = 82.1h;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Dimitar Kazakov</t>
        </is>
      </c>
      <c r="B28" s="2" t="n">
        <v>1</v>
      </c>
      <c r="C28" s="3" t="n">
        <v>1424.5</v>
      </c>
      <c r="D28" s="3" t="n">
        <v>629.3</v>
      </c>
      <c r="E28" s="3" t="n">
        <v>620.2</v>
      </c>
      <c r="F28" s="3" t="n">
        <v>175</v>
      </c>
      <c r="G28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8" s="4" t="inlineStr">
        <is>
          <t>PhD supervision: 5x full-time PhD student × 80h/FTE; 1x part-time PhD student × 48h/FTE; 1x assessor (8h each) = 456.0h</t>
        </is>
      </c>
      <c r="I28" s="4" t="inlineStr">
        <is>
          <t>Ethics Committee members: 0% of 1642h = 0.0h;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Siamak Shahandashti</t>
        </is>
      </c>
      <c r="B29" s="2" t="n">
        <v>1</v>
      </c>
      <c r="C29" s="3" t="n">
        <v>1277.34</v>
      </c>
      <c r="D29" s="3" t="n">
        <v>459.84</v>
      </c>
      <c r="E29" s="3" t="n">
        <v>478.3</v>
      </c>
      <c r="F29" s="3" t="n">
        <v>339.2</v>
      </c>
      <c r="G29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Project setting (fixed): 6.0h; Pastoral: 17 students x 3h = 51.0h; Projects: 7 projects x UG (16h) = 112.0h</t>
        </is>
      </c>
      <c r="H29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29" s="4" t="inlineStr">
        <is>
          <t>Deputy Graduate Chair: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Felix Ulrich-Oltean</t>
        </is>
      </c>
      <c r="B30" s="2" t="n">
        <v>1</v>
      </c>
      <c r="C30" s="3" t="n">
        <v>810.63</v>
      </c>
      <c r="D30" s="3" t="n">
        <v>423.43</v>
      </c>
      <c r="E30" s="3" t="n">
        <v>212.2</v>
      </c>
      <c r="F30" s="3" t="n">
        <v>175</v>
      </c>
      <c r="G30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30" s="4" t="inlineStr">
        <is>
          <t>PhD supervision: 1x part-time PhD student × 48h/FTE = 48.0h</t>
        </is>
      </c>
      <c r="I30" s="4" t="inlineStr">
        <is>
          <t>Engagement (email/meetings): 100.0h; Personal development: 75.0h (FTE: 1.00)</t>
        </is>
      </c>
      <c r="J30" s="5" t="inlineStr">
        <is>
          <t>None</t>
        </is>
      </c>
      <c r="K30" s="5" t="inlineStr">
        <is>
          <t>No administrative roles assigned</t>
        </is>
      </c>
    </row>
    <row r="31">
      <c r="A31" s="2" t="inlineStr">
        <is>
          <t>Peter Nightingale</t>
        </is>
      </c>
      <c r="B31" s="2" t="n">
        <v>1</v>
      </c>
      <c r="C31" s="3" t="n">
        <v>2230.43</v>
      </c>
      <c r="D31" s="3" t="n">
        <v>1591.03</v>
      </c>
      <c r="E31" s="3" t="n">
        <v>300.2</v>
      </c>
      <c r="F31" s="3" t="n">
        <v>339.2</v>
      </c>
      <c r="G31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5 projects x UG (16h) = 80.0h</t>
        </is>
      </c>
      <c r="H31" s="4" t="inlineStr">
        <is>
          <t>PhD supervision: 2x part-time PhD student × 48h/FTE; 5x assessor (8h each) = 136.0h</t>
        </is>
      </c>
      <c r="I31" s="4" t="inlineStr">
        <is>
          <t>UG PL: 10% of 1642h = 164.2h; Engagement (email/meetings): 100.0h; Personal development: 75.0h (FTE: 1.00)</t>
        </is>
      </c>
      <c r="J31" s="5" t="inlineStr">
        <is>
          <t>Module had 0 students - marking not calculated; Module had 0 students - marking not calculated</t>
        </is>
      </c>
      <c r="K31" s="5" t="inlineStr">
        <is>
          <t>None</t>
        </is>
      </c>
    </row>
    <row r="32">
      <c r="A32" s="2" t="inlineStr">
        <is>
          <t>James Walker</t>
        </is>
      </c>
      <c r="B32" s="2" t="n">
        <v>1</v>
      </c>
      <c r="C32" s="3" t="n">
        <v>1808.84</v>
      </c>
      <c r="D32" s="3" t="n">
        <v>633.04</v>
      </c>
      <c r="E32" s="3" t="n">
        <v>1000.8</v>
      </c>
      <c r="F32" s="3" t="n">
        <v>175</v>
      </c>
      <c r="G32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32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32" s="4" t="inlineStr">
        <is>
          <t>Engagement (email/meetings): 100.0h; Personal development: 75.0h (FTE: 1.00)</t>
        </is>
      </c>
      <c r="J32" s="5" t="inlineStr">
        <is>
          <t>None</t>
        </is>
      </c>
      <c r="K32" s="5" t="inlineStr">
        <is>
          <t>No administrative roles assigned</t>
        </is>
      </c>
    </row>
    <row r="33">
      <c r="A33" s="2" t="inlineStr">
        <is>
          <t>Simon Foster</t>
        </is>
      </c>
      <c r="B33" s="2" t="n">
        <v>1</v>
      </c>
      <c r="C33" s="3" t="n">
        <v>896.2966666666666</v>
      </c>
      <c r="D33" s="3" t="n">
        <v>445.0966666666667</v>
      </c>
      <c r="E33" s="3" t="n">
        <v>276.2</v>
      </c>
      <c r="F33" s="3" t="n">
        <v>175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33" s="4" t="inlineStr">
        <is>
          <t>PhD supervision: 2x part-time PhD student × 48h/FTE; 2x assessor (8h each) = 112.0h</t>
        </is>
      </c>
      <c r="I33" s="4" t="inlineStr">
        <is>
          <t>Engagement (email/meetings): 100.0h; Personal development: 75.0h (FTE: 1.00)</t>
        </is>
      </c>
      <c r="J33" s="5" t="inlineStr">
        <is>
          <t>None</t>
        </is>
      </c>
      <c r="K33" s="5" t="inlineStr">
        <is>
          <t>No administrative roles assigned</t>
        </is>
      </c>
    </row>
    <row r="34">
      <c r="A34" s="2" t="inlineStr">
        <is>
          <t>Claire Ingram</t>
        </is>
      </c>
      <c r="B34" s="2" t="n">
        <v>1</v>
      </c>
      <c r="C34" s="3" t="n">
        <v>649.1849999999999</v>
      </c>
      <c r="D34" s="3" t="n">
        <v>227.885</v>
      </c>
      <c r="E34" s="3" t="n">
        <v>164.2</v>
      </c>
      <c r="F34" s="3" t="n">
        <v>257.1</v>
      </c>
      <c r="G34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34" s="4" t="inlineStr">
        <is>
          <t>No research activities recorded</t>
        </is>
      </c>
      <c r="I34" s="4" t="inlineStr">
        <is>
          <t>Outreach and Extra-Curricular Activities: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James Stovold</t>
        </is>
      </c>
      <c r="B35" s="2" t="n">
        <v>1</v>
      </c>
      <c r="C35" s="3" t="n">
        <v>1600.34</v>
      </c>
      <c r="D35" s="3" t="n">
        <v>1179.04</v>
      </c>
      <c r="E35" s="3" t="n">
        <v>164.2</v>
      </c>
      <c r="F35" s="3" t="n">
        <v>257.1</v>
      </c>
      <c r="G35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35" s="4" t="inlineStr">
        <is>
          <t>No research activities recorded</t>
        </is>
      </c>
      <c r="I35" s="4" t="inlineStr">
        <is>
          <t>Academic Admissions Team: 5% of 1642h = 82.1h; Engagement (email/meetings): 100.0h; Personal development: 75.0h (FTE: 1.00)</t>
        </is>
      </c>
      <c r="J35" s="5" t="inlineStr">
        <is>
          <t>Module had 0 students - marking not calculated; Module had 0 students - marking not calculated</t>
        </is>
      </c>
      <c r="K35" s="5" t="inlineStr">
        <is>
          <t>None</t>
        </is>
      </c>
    </row>
    <row r="36">
      <c r="A36" s="2" t="inlineStr">
        <is>
          <t>Katrina Attwood</t>
        </is>
      </c>
      <c r="B36" s="2" t="n">
        <v>1</v>
      </c>
      <c r="C36" s="3" t="n">
        <v>1809.16</v>
      </c>
      <c r="D36" s="3" t="n">
        <v>1093.56</v>
      </c>
      <c r="E36" s="3" t="n">
        <v>212.2</v>
      </c>
      <c r="F36" s="3" t="n">
        <v>503.4</v>
      </c>
      <c r="G36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36" s="4" t="inlineStr">
        <is>
          <t>PhD supervision: 1x part-time PhD student × 48h/FTE = 48.0h</t>
        </is>
      </c>
      <c r="I36" s="4" t="inlineStr">
        <is>
          <t>Director of Students: 20% of 1642h = 328.4h; Engagement (email/meetings): 100.0h; Personal development: 75.0h (FTE: 1.00)</t>
        </is>
      </c>
      <c r="J36" s="5" t="inlineStr">
        <is>
          <t>Module had 0 students - marking not calculated</t>
        </is>
      </c>
      <c r="K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1263.375</v>
      </c>
      <c r="D37" s="3" t="n">
        <v>842.075</v>
      </c>
      <c r="E37" s="3" t="n">
        <v>164.2</v>
      </c>
      <c r="F37" s="3" t="n">
        <v>257.1</v>
      </c>
      <c r="G37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Colin Paterson</t>
        </is>
      </c>
      <c r="B38" s="2" t="n">
        <v>1</v>
      </c>
      <c r="C38" s="3" t="n">
        <v>983.5599999999999</v>
      </c>
      <c r="D38" s="3" t="n">
        <v>228.8</v>
      </c>
      <c r="E38" s="3" t="n">
        <v>579.76</v>
      </c>
      <c r="F38" s="3" t="n">
        <v>175</v>
      </c>
      <c r="G38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38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38" s="4" t="inlineStr">
        <is>
          <t>Engagement (email/meetings): 100.0h; Personal development: 75.0h (FTE: 1.00)</t>
        </is>
      </c>
      <c r="J38" s="5" t="inlineStr">
        <is>
          <t>Module had 0 students - marking not calculated</t>
        </is>
      </c>
      <c r="K38" s="5" t="inlineStr">
        <is>
          <t>No administrative roles assigned</t>
        </is>
      </c>
    </row>
    <row r="39">
      <c r="A39" s="2" t="inlineStr">
        <is>
          <t>Robbert Jongeling</t>
        </is>
      </c>
      <c r="B39" s="2" t="n">
        <v>1</v>
      </c>
      <c r="C39" s="3" t="n">
        <v>1348.48</v>
      </c>
      <c r="D39" s="3" t="n">
        <v>1009.28</v>
      </c>
      <c r="E39" s="3" t="n">
        <v>164.2</v>
      </c>
      <c r="F39" s="3" t="n">
        <v>175</v>
      </c>
      <c r="G39" s="4" t="inlineStr">
        <is>
          <t>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 students x 3h = 6.0h; Projects: 2 projects x UG (16h) = 32.0h</t>
        </is>
      </c>
      <c r="H39" s="4" t="inlineStr">
        <is>
          <t>No research activities recorded</t>
        </is>
      </c>
      <c r="I39" s="4" t="inlineStr">
        <is>
          <t>Engagement (email/meetings): 100.0h; Personal development: 75.0h (FTE: 1.00)</t>
        </is>
      </c>
      <c r="J39" s="5" t="inlineStr">
        <is>
          <t>Module had 0 students - marking not calculated</t>
        </is>
      </c>
      <c r="K39" s="5" t="inlineStr">
        <is>
          <t>No administrative roles assigned</t>
        </is>
      </c>
    </row>
    <row r="40">
      <c r="A40" s="2" t="inlineStr">
        <is>
          <t>Roberto Metere</t>
        </is>
      </c>
      <c r="B40" s="2" t="n">
        <v>1</v>
      </c>
      <c r="C40" s="3" t="n">
        <v>1522.941666666667</v>
      </c>
      <c r="D40" s="3" t="n">
        <v>1079.741666666667</v>
      </c>
      <c r="E40" s="3" t="n">
        <v>268.2</v>
      </c>
      <c r="F40" s="3" t="n">
        <v>175</v>
      </c>
      <c r="G40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Project setting (fixed): 6.0h; Pastoral: 20 students x 3h = 60.0h; Projects: 7 projects x UG (16h) = 112.0h</t>
        </is>
      </c>
      <c r="H40" s="4" t="inlineStr">
        <is>
          <t>PhD supervision: 2x part-time PhD student × 48h/FTE; 1x assessor (8h each) = 104.0h</t>
        </is>
      </c>
      <c r="I40" s="4" t="inlineStr">
        <is>
          <t>StAMP committee members: 0% of 1642h = 0.0h;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Yan Jia</t>
        </is>
      </c>
      <c r="B41" s="2" t="n">
        <v>1</v>
      </c>
      <c r="C41" s="3" t="n">
        <v>1282.37</v>
      </c>
      <c r="D41" s="3" t="n">
        <v>468.67</v>
      </c>
      <c r="E41" s="3" t="n">
        <v>638.7</v>
      </c>
      <c r="F41" s="3" t="n">
        <v>175</v>
      </c>
      <c r="G41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41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Detlef Plump</t>
        </is>
      </c>
      <c r="B42" s="2" t="n">
        <v>1</v>
      </c>
      <c r="C42" s="3" t="n">
        <v>1097.26</v>
      </c>
      <c r="D42" s="3" t="n">
        <v>333.66</v>
      </c>
      <c r="E42" s="3" t="n">
        <v>260.2</v>
      </c>
      <c r="F42" s="3" t="n">
        <v>503.4</v>
      </c>
      <c r="G42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42" s="4" t="inlineStr">
        <is>
          <t>PhD supervision: 1x full-time PhD student × 80h/FTE; 2x assessor (8h each) = 96.0h</t>
        </is>
      </c>
      <c r="I42" s="4" t="inlineStr">
        <is>
          <t>EC Officer (on-campus): 15% of 1642h = 246.3h; Other PLs: 5% of 1642h = 82.1h;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Dimitris Kolovos</t>
        </is>
      </c>
      <c r="B43" s="2" t="n">
        <v>1</v>
      </c>
      <c r="C43" s="3" t="n">
        <v>1703.82</v>
      </c>
      <c r="D43" s="3" t="n">
        <v>413.92</v>
      </c>
      <c r="E43" s="3" t="n">
        <v>1114.9</v>
      </c>
      <c r="F43" s="3" t="n">
        <v>175</v>
      </c>
      <c r="G43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43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43" s="4" t="inlineStr">
        <is>
          <t>Engagement (email/meetings): 100.0h; Personal development: 75.0h (FTE: 1.00)</t>
        </is>
      </c>
      <c r="J43" s="5" t="inlineStr">
        <is>
          <t>Module had 0 students - marking not calculated</t>
        </is>
      </c>
      <c r="K43" s="5" t="inlineStr">
        <is>
          <t>No administrative roles assigned</t>
        </is>
      </c>
    </row>
    <row r="44">
      <c r="A44" s="2" t="inlineStr">
        <is>
          <t>Frank Soboczenski</t>
        </is>
      </c>
      <c r="B44" s="2" t="n">
        <v>1</v>
      </c>
      <c r="C44" s="3" t="n">
        <v>2515.32</v>
      </c>
      <c r="D44" s="3" t="n">
        <v>463.8</v>
      </c>
      <c r="E44" s="3" t="n">
        <v>1794.42</v>
      </c>
      <c r="F44" s="3" t="n">
        <v>257.1</v>
      </c>
      <c r="G44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44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44" s="4" t="inlineStr">
        <is>
          <t>Academic Admissions Team: 5% of 1642h = 82.1h; Engagement (email/meetings): 100.0h; Personal development: 75.0h (FTE: 1.00)</t>
        </is>
      </c>
      <c r="J44" s="5" t="inlineStr">
        <is>
          <t>Module had 0 students - marking not calculated</t>
        </is>
      </c>
      <c r="K44" s="5" t="inlineStr">
        <is>
          <t>None</t>
        </is>
      </c>
    </row>
    <row r="45">
      <c r="A45" s="2" t="inlineStr">
        <is>
          <t>Xinwei Fang</t>
        </is>
      </c>
      <c r="B45" s="2" t="n">
        <v>1</v>
      </c>
      <c r="C45" s="3" t="n">
        <v>1258.805</v>
      </c>
      <c r="D45" s="3" t="n">
        <v>757.505</v>
      </c>
      <c r="E45" s="3" t="n">
        <v>244.2</v>
      </c>
      <c r="F45" s="3" t="n">
        <v>257.1</v>
      </c>
      <c r="G45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45" s="4" t="inlineStr">
        <is>
          <t>PhD supervision: 1x full-time PhD student × 80h/FTE = 80.0h</t>
        </is>
      </c>
      <c r="I45" s="4" t="inlineStr">
        <is>
          <t>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Tommy Yuan</t>
        </is>
      </c>
      <c r="B46" s="2" t="n">
        <v>1</v>
      </c>
      <c r="C46" s="3" t="n">
        <v>2406.913333333333</v>
      </c>
      <c r="D46" s="3" t="n">
        <v>1703.513333333333</v>
      </c>
      <c r="E46" s="3" t="n">
        <v>364.2</v>
      </c>
      <c r="F46" s="3" t="n">
        <v>339.2</v>
      </c>
      <c r="G46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46" s="4" t="inlineStr">
        <is>
          <t>PhD supervision: 1x full-time PhD student × 80h/FTE; 2x part-time PhD student × 48h/FTE; 3x assessor (8h each) = 200.0h</t>
        </is>
      </c>
      <c r="I46" s="4" t="inlineStr">
        <is>
          <t>Deputy CBoEs: 10% of 1642h = 164.2h; StAMP committee members: 0% of 1642h = 0.0h; CSCSE SQA Partnership Leader: 0% of 1642h = 0.0h; Engagement (email/meetings): 100.0h; Personal development: 75.0h (FTE: 1.00)</t>
        </is>
      </c>
      <c r="J46" s="5" t="inlineStr">
        <is>
          <t>Module had 0 students - marking not calculated; Module had 0 students - marking not calculated</t>
        </is>
      </c>
      <c r="K46" s="5" t="inlineStr">
        <is>
          <t>None</t>
        </is>
      </c>
    </row>
    <row r="47">
      <c r="A47" s="2" t="inlineStr">
        <is>
          <t>Pourya Shamsolmoali</t>
        </is>
      </c>
      <c r="B47" s="2" t="n">
        <v>1</v>
      </c>
      <c r="C47" s="3" t="n">
        <v>1538.465</v>
      </c>
      <c r="D47" s="3" t="n">
        <v>1012.115</v>
      </c>
      <c r="E47" s="3" t="n">
        <v>228.2</v>
      </c>
      <c r="F47" s="3" t="n">
        <v>298.15</v>
      </c>
      <c r="G47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Project setting (fixed): 6.0h; Pastoral: 5 students x 3h = 15.0h; Projects: 4 projects x UG (16h) = 64.0h</t>
        </is>
      </c>
      <c r="H47" s="4" t="inlineStr">
        <is>
          <t>PhD supervision: 1x part-time PhD student × 48h/FTE; 2x assessor (8h each) = 64.0h</t>
        </is>
      </c>
      <c r="I47" s="4" t="inlineStr">
        <is>
          <t>Other PLs: 5% of 1642h = 82.1h; Graduate School Board (Ordinary member): 2% of 1642h = 41.1h;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</row>
    <row r="48">
      <c r="A48" s="2" t="inlineStr">
        <is>
          <t>Christopher Crispin-Bailey</t>
        </is>
      </c>
      <c r="B48" s="2" t="n">
        <v>1</v>
      </c>
      <c r="C48" s="3" t="n">
        <v>1159.203333333333</v>
      </c>
      <c r="D48" s="3" t="n">
        <v>532.6533333333334</v>
      </c>
      <c r="E48" s="3" t="n">
        <v>164.2</v>
      </c>
      <c r="F48" s="3" t="n">
        <v>462.35</v>
      </c>
      <c r="G4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48" s="4" t="inlineStr">
        <is>
          <t>No research activities recorded</t>
        </is>
      </c>
      <c r="I48" s="4" t="inlineStr">
        <is>
          <t>GTA Coordinator: 10% of 1642h = 164.2h; Union: 8% of 1642h = 123.1h;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Da Li</t>
        </is>
      </c>
      <c r="B49" s="2" t="n">
        <v>1</v>
      </c>
      <c r="C49" s="3" t="n">
        <v>750</v>
      </c>
      <c r="D49" s="3" t="n">
        <v>410.8</v>
      </c>
      <c r="E49" s="3" t="n">
        <v>164.2</v>
      </c>
      <c r="F49" s="3" t="n">
        <v>175</v>
      </c>
      <c r="G49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49" s="4" t="inlineStr">
        <is>
          <t>No research activities recorded</t>
        </is>
      </c>
      <c r="I49" s="4" t="inlineStr">
        <is>
          <t>Engagement (email/meetings): 100.0h; Personal development: 75.0h (FTE: 1.00)</t>
        </is>
      </c>
      <c r="J49" s="5" t="inlineStr">
        <is>
          <t>None</t>
        </is>
      </c>
      <c r="K49" s="5" t="inlineStr">
        <is>
          <t>No administrative roles assigned</t>
        </is>
      </c>
    </row>
    <row r="50">
      <c r="A50" s="2" t="inlineStr">
        <is>
          <t>Vasileios Vasilakis</t>
        </is>
      </c>
      <c r="B50" s="2" t="n">
        <v>1</v>
      </c>
      <c r="C50" s="3" t="n">
        <v>1028.195</v>
      </c>
      <c r="D50" s="3" t="n">
        <v>332.795</v>
      </c>
      <c r="E50" s="3" t="n">
        <v>356.2</v>
      </c>
      <c r="F50" s="3" t="n">
        <v>339.2</v>
      </c>
      <c r="G50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0" s="4" t="inlineStr">
        <is>
          <t>PhD supervision: 1x full-time PhD student × 80h/FTE; 2x part-time PhD student × 48h/FTE; 2x assessor (8h each) = 192.0h</t>
        </is>
      </c>
      <c r="I50" s="4" t="inlineStr">
        <is>
          <t>Deputy CBoEs: 10% of 1642h = 164.2h;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Antonio Garcia-Dominguez</t>
        </is>
      </c>
      <c r="B51" s="2" t="n">
        <v>1</v>
      </c>
      <c r="C51" s="3" t="n">
        <v>1795.386666666667</v>
      </c>
      <c r="D51" s="3" t="n">
        <v>975.7866666666666</v>
      </c>
      <c r="E51" s="3" t="n">
        <v>644.6000000000001</v>
      </c>
      <c r="F51" s="3" t="n">
        <v>175</v>
      </c>
      <c r="G51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12 students x 3h = 36.0h; Projects: 4 projects x UG (16h) = 64.0h</t>
        </is>
      </c>
      <c r="H51" s="4" t="inlineStr">
        <is>
          <t>PhD supervision: 3x part-time PhD student × 48h/FTE; 1x assessor (8h each) = 152.0h; Grant MOSAICO: 10% of 1642h = 164.2h; Grant SCHEME: 10% of 1642h = 164.2h</t>
        </is>
      </c>
      <c r="I51" s="4" t="inlineStr">
        <is>
          <t>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 administrative roles assigned</t>
        </is>
      </c>
    </row>
    <row r="52">
      <c r="A52" s="2" t="inlineStr">
        <is>
          <t>Pedro Ribeiro</t>
        </is>
      </c>
      <c r="B52" s="2" t="n">
        <v>1</v>
      </c>
      <c r="C52" s="3" t="n">
        <v>1986.063333333333</v>
      </c>
      <c r="D52" s="3" t="n">
        <v>1002.263333333333</v>
      </c>
      <c r="E52" s="3" t="n">
        <v>644.6</v>
      </c>
      <c r="F52" s="3" t="n">
        <v>339.2</v>
      </c>
      <c r="G52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17 students x 3h = 51.0h; Projects: 4 projects x UG (16h) = 64.0h</t>
        </is>
      </c>
      <c r="H52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52" s="4" t="inlineStr">
        <is>
          <t>Progression Panel: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Poonam Yadav</t>
        </is>
      </c>
      <c r="B53" s="2" t="n">
        <v>1</v>
      </c>
      <c r="C53" s="3" t="n">
        <v>2014.12</v>
      </c>
      <c r="D53" s="3" t="n">
        <v>562.12</v>
      </c>
      <c r="E53" s="3" t="n">
        <v>1112.8</v>
      </c>
      <c r="F53" s="3" t="n">
        <v>339.2</v>
      </c>
      <c r="G5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53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53" s="4" t="inlineStr">
        <is>
          <t>Progression Panel: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Adrian Bors</t>
        </is>
      </c>
      <c r="B54" s="2" t="n">
        <v>1</v>
      </c>
      <c r="C54" s="3" t="n">
        <v>1346.6</v>
      </c>
      <c r="D54" s="3" t="n">
        <v>677.3</v>
      </c>
      <c r="E54" s="3" t="n">
        <v>412.2</v>
      </c>
      <c r="F54" s="3" t="n">
        <v>257.1</v>
      </c>
      <c r="G54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54" s="4" t="inlineStr">
        <is>
          <t>PhD supervision: 3x full-time PhD student × 80h/FTE; 1x assessor (8h each) = 248.0h</t>
        </is>
      </c>
      <c r="I54" s="4" t="inlineStr">
        <is>
          <t>Internationalisation and Visitors Coordinator: 5% of 1642h = 82.1h; Engagement (email/meetings): 100.0h; Personal development: 75.0h (FTE: 1.00)</t>
        </is>
      </c>
      <c r="J54" s="5" t="inlineStr">
        <is>
          <t>Module had 0 students - marking not calculated</t>
        </is>
      </c>
      <c r="K54" s="5" t="inlineStr">
        <is>
          <t>None</t>
        </is>
      </c>
    </row>
    <row r="55">
      <c r="A55" s="2" t="inlineStr">
        <is>
          <t>Pengcheng Liu</t>
        </is>
      </c>
      <c r="B55" s="2" t="n">
        <v>1</v>
      </c>
      <c r="C55" s="3" t="n">
        <v>1400.88</v>
      </c>
      <c r="D55" s="3" t="n">
        <v>229.3</v>
      </c>
      <c r="E55" s="3" t="n">
        <v>996.5800000000002</v>
      </c>
      <c r="F55" s="3" t="n">
        <v>175</v>
      </c>
      <c r="G55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55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55" s="4" t="inlineStr">
        <is>
          <t>Graduate School Board (GSB) Chair: 0% of 1642h = 0.0h;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Iain Bate</t>
        </is>
      </c>
      <c r="B56" s="2" t="n">
        <v>1</v>
      </c>
      <c r="C56" s="3" t="n">
        <v>2435.6</v>
      </c>
      <c r="D56" s="3" t="n">
        <v>30</v>
      </c>
      <c r="E56" s="3" t="n">
        <v>588.6</v>
      </c>
      <c r="F56" s="3" t="n">
        <v>1817</v>
      </c>
      <c r="G56" s="4" t="inlineStr">
        <is>
          <t>Minimum administrative teaching load (from workload_parameters.yaml): 30h</t>
        </is>
      </c>
      <c r="H56" s="4" t="inlineStr">
        <is>
          <t>PhD supervision: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Radu Calinescu</t>
        </is>
      </c>
      <c r="B2" s="7" t="n">
        <v>186.43</v>
      </c>
      <c r="C2" s="7" t="n">
        <v>918.7</v>
      </c>
      <c r="D2" s="7" t="n">
        <v>175</v>
      </c>
      <c r="E2" s="7">
        <f>SUM(B2:D2)</f>
        <v/>
      </c>
    </row>
    <row r="3">
      <c r="A3" t="inlineStr">
        <is>
          <t>Yuchen Zhao</t>
        </is>
      </c>
      <c r="B3" s="7" t="n">
        <v>766.35</v>
      </c>
      <c r="C3" s="7" t="n">
        <v>180.2</v>
      </c>
      <c r="D3" s="7" t="n">
        <v>257.1</v>
      </c>
      <c r="E3" s="7">
        <f>SUM(B3:D3)</f>
        <v/>
      </c>
    </row>
    <row r="4">
      <c r="A4" t="inlineStr">
        <is>
          <t>Carlo Ottaviani</t>
        </is>
      </c>
      <c r="B4" s="7" t="n">
        <v>662.8816666666667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Stefano Pirandola</t>
        </is>
      </c>
      <c r="B5" s="7" t="n">
        <v>810.8150000000001</v>
      </c>
      <c r="C5" s="7" t="n">
        <v>520.4000000000001</v>
      </c>
      <c r="D5" s="7" t="n">
        <v>421.3</v>
      </c>
      <c r="E5" s="7">
        <f>SUM(B5:D5)</f>
        <v/>
      </c>
    </row>
    <row r="6">
      <c r="A6" t="inlineStr">
        <is>
          <t>Nick Pears</t>
        </is>
      </c>
      <c r="B6" s="7" t="n">
        <v>372.5133333333333</v>
      </c>
      <c r="C6" s="7" t="n">
        <v>428.2</v>
      </c>
      <c r="D6" s="7" t="n">
        <v>831.8000000000001</v>
      </c>
      <c r="E6" s="7">
        <f>SUM(B6:D6)</f>
        <v/>
      </c>
    </row>
    <row r="7">
      <c r="A7" t="inlineStr">
        <is>
          <t>Jo Iacovides</t>
        </is>
      </c>
      <c r="B7" s="7" t="n">
        <v>1010.355</v>
      </c>
      <c r="C7" s="7" t="n">
        <v>348.2</v>
      </c>
      <c r="D7" s="7" t="n">
        <v>339.2</v>
      </c>
      <c r="E7" s="7">
        <f>SUM(B7:D7)</f>
        <v/>
      </c>
    </row>
    <row r="8">
      <c r="A8" t="inlineStr">
        <is>
          <t>Soumya Banerjee</t>
        </is>
      </c>
      <c r="B8" s="7" t="n">
        <v>1121.84</v>
      </c>
      <c r="C8" s="7" t="n">
        <v>164.2</v>
      </c>
      <c r="D8" s="7" t="n">
        <v>175</v>
      </c>
      <c r="E8" s="7">
        <f>SUM(B8:D8)</f>
        <v/>
      </c>
    </row>
    <row r="9">
      <c r="A9" t="inlineStr">
        <is>
          <t>Claudio Guarnera</t>
        </is>
      </c>
      <c r="B9" s="7" t="n">
        <v>536.04</v>
      </c>
      <c r="C9" s="7" t="n">
        <v>276.2</v>
      </c>
      <c r="D9" s="7" t="n">
        <v>175</v>
      </c>
      <c r="E9" s="7">
        <f>SUM(B9:D9)</f>
        <v/>
      </c>
    </row>
    <row r="10">
      <c r="A10" t="inlineStr">
        <is>
          <t>Sam Braunstein</t>
        </is>
      </c>
      <c r="B10" s="7" t="n">
        <v>812.3916666666668</v>
      </c>
      <c r="C10" s="7" t="n">
        <v>164.2</v>
      </c>
      <c r="D10" s="7" t="n">
        <v>175</v>
      </c>
      <c r="E10" s="7">
        <f>SUM(B10:D10)</f>
        <v/>
      </c>
    </row>
    <row r="11">
      <c r="A11" t="inlineStr">
        <is>
          <t>Kofi Appiah</t>
        </is>
      </c>
      <c r="B11" s="7" t="n">
        <v>861.85</v>
      </c>
      <c r="C11" s="7" t="n">
        <v>356.2</v>
      </c>
      <c r="D11" s="7" t="n">
        <v>421.3</v>
      </c>
      <c r="E11" s="7">
        <f>SUM(B11:D11)</f>
        <v/>
      </c>
    </row>
    <row r="12">
      <c r="A12" t="inlineStr">
        <is>
          <t>Alvaro Miyazawa</t>
        </is>
      </c>
      <c r="B12" s="7" t="n">
        <v>595.55</v>
      </c>
      <c r="C12" s="7" t="n">
        <v>268.2</v>
      </c>
      <c r="D12" s="7" t="n">
        <v>339.2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Andrew Pomfret</t>
        </is>
      </c>
      <c r="B14" s="7" t="n">
        <v>836.1433333333334</v>
      </c>
      <c r="C14" s="7" t="n">
        <v>164.2</v>
      </c>
      <c r="D14" s="7" t="n">
        <v>257.1</v>
      </c>
      <c r="E14" s="7">
        <f>SUM(B14:D14)</f>
        <v/>
      </c>
    </row>
    <row r="15">
      <c r="A15" t="inlineStr">
        <is>
          <t>Jacob Rigby</t>
        </is>
      </c>
      <c r="B15" s="7" t="n">
        <v>716.78</v>
      </c>
      <c r="C15" s="7" t="n">
        <v>246.3</v>
      </c>
      <c r="D15" s="7" t="n">
        <v>339.2</v>
      </c>
      <c r="E15" s="7">
        <f>SUM(B15:D15)</f>
        <v/>
      </c>
    </row>
    <row r="16">
      <c r="A16" t="inlineStr">
        <is>
          <t>Ian Gray</t>
        </is>
      </c>
      <c r="B16" s="7" t="n">
        <v>425.41</v>
      </c>
      <c r="C16" s="7" t="n">
        <v>348.2</v>
      </c>
      <c r="D16" s="7" t="n">
        <v>996</v>
      </c>
      <c r="E16" s="7">
        <f>SUM(B16:D16)</f>
        <v/>
      </c>
    </row>
    <row r="17">
      <c r="A17" t="inlineStr">
        <is>
          <t>Steven Wright</t>
        </is>
      </c>
      <c r="B17" s="7" t="n">
        <v>540.71</v>
      </c>
      <c r="C17" s="7" t="n">
        <v>452.2</v>
      </c>
      <c r="D17" s="7" t="n">
        <v>175</v>
      </c>
      <c r="E17" s="7">
        <f>SUM(B17:D17)</f>
        <v/>
      </c>
    </row>
    <row r="18">
      <c r="A18" t="inlineStr">
        <is>
          <t>William Smith</t>
        </is>
      </c>
      <c r="B18" s="7" t="n">
        <v>1018.41</v>
      </c>
      <c r="C18" s="7" t="n">
        <v>676.2</v>
      </c>
      <c r="D18" s="7" t="n">
        <v>298.15</v>
      </c>
      <c r="E18" s="7">
        <f>SUM(B18:D18)</f>
        <v/>
      </c>
    </row>
    <row r="19">
      <c r="A19" t="inlineStr">
        <is>
          <t>Joe Cutting</t>
        </is>
      </c>
      <c r="B19" s="7" t="n">
        <v>1021.035</v>
      </c>
      <c r="C19" s="7" t="n">
        <v>228.2</v>
      </c>
      <c r="D19" s="7" t="n">
        <v>175</v>
      </c>
      <c r="E19" s="7">
        <f>SUM(B19:D19)</f>
        <v/>
      </c>
    </row>
    <row r="20">
      <c r="A20" t="inlineStr">
        <is>
          <t>Rob Alexander</t>
        </is>
      </c>
      <c r="B20" s="7" t="n">
        <v>215.885</v>
      </c>
      <c r="C20" s="7" t="n">
        <v>398.3</v>
      </c>
      <c r="D20" s="7" t="n">
        <v>175</v>
      </c>
      <c r="E20" s="7">
        <f>SUM(B20:D20)</f>
        <v/>
      </c>
    </row>
    <row r="21">
      <c r="A21" t="inlineStr">
        <is>
          <t>Paul Cairns</t>
        </is>
      </c>
      <c r="B21" s="7" t="n">
        <v>906.145</v>
      </c>
      <c r="C21" s="7" t="n">
        <v>1012.6</v>
      </c>
      <c r="D21" s="7" t="n">
        <v>339.2</v>
      </c>
      <c r="E21" s="7">
        <f>SUM(B21:D21)</f>
        <v/>
      </c>
    </row>
    <row r="22">
      <c r="A22" t="inlineStr">
        <is>
          <t>Jen Beeston</t>
        </is>
      </c>
      <c r="B22" s="7" t="n">
        <v>1029.8</v>
      </c>
      <c r="C22" s="7" t="n">
        <v>332.2</v>
      </c>
      <c r="D22" s="7" t="n">
        <v>175</v>
      </c>
      <c r="E22" s="7">
        <f>SUM(B22:D22)</f>
        <v/>
      </c>
    </row>
    <row r="23">
      <c r="A23" t="inlineStr">
        <is>
          <t>Alena Denisova</t>
        </is>
      </c>
      <c r="B23" s="7" t="n">
        <v>1058.415</v>
      </c>
      <c r="C23" s="7" t="n">
        <v>444.2</v>
      </c>
      <c r="D23" s="7" t="n">
        <v>503.4</v>
      </c>
      <c r="E23" s="7">
        <f>SUM(B23:D23)</f>
        <v/>
      </c>
    </row>
    <row r="24">
      <c r="A24" t="inlineStr">
        <is>
          <t>Fang Yan</t>
        </is>
      </c>
      <c r="B24" s="7" t="n">
        <v>461.48</v>
      </c>
      <c r="C24" s="7" t="n">
        <v>164.2</v>
      </c>
      <c r="D24" s="7" t="n">
        <v>175</v>
      </c>
      <c r="E24" s="7">
        <f>SUM(B24:D24)</f>
        <v/>
      </c>
    </row>
    <row r="25">
      <c r="A25" t="inlineStr">
        <is>
          <t>Kostas Barmpis</t>
        </is>
      </c>
      <c r="B25" s="7" t="n">
        <v>1069.833333333333</v>
      </c>
      <c r="C25" s="7" t="n">
        <v>548.6</v>
      </c>
      <c r="D25" s="7" t="n">
        <v>175</v>
      </c>
      <c r="E25" s="7">
        <f>SUM(B25:D25)</f>
        <v/>
      </c>
    </row>
    <row r="26">
      <c r="A26" t="inlineStr">
        <is>
          <t>Steven Xiaotian Dai</t>
        </is>
      </c>
      <c r="B26" s="7" t="n">
        <v>969.12</v>
      </c>
      <c r="C26" s="7" t="n">
        <v>350.3</v>
      </c>
      <c r="D26" s="7" t="n">
        <v>503.4</v>
      </c>
      <c r="E26" s="7">
        <f>SUM(B26:D26)</f>
        <v/>
      </c>
    </row>
    <row r="27">
      <c r="A27" t="inlineStr">
        <is>
          <t>Mike Freeman</t>
        </is>
      </c>
      <c r="B27" s="7" t="n">
        <v>857.1433333333334</v>
      </c>
      <c r="C27" s="7" t="n">
        <v>164.2</v>
      </c>
      <c r="D27" s="7" t="n">
        <v>257.1</v>
      </c>
      <c r="E27" s="7">
        <f>SUM(B27:D27)</f>
        <v/>
      </c>
    </row>
    <row r="28">
      <c r="A28" t="inlineStr">
        <is>
          <t>Dimitar Kazakov</t>
        </is>
      </c>
      <c r="B28" s="7" t="n">
        <v>629.3</v>
      </c>
      <c r="C28" s="7" t="n">
        <v>620.2</v>
      </c>
      <c r="D28" s="7" t="n">
        <v>175</v>
      </c>
      <c r="E28" s="7">
        <f>SUM(B28:D28)</f>
        <v/>
      </c>
    </row>
    <row r="29">
      <c r="A29" t="inlineStr">
        <is>
          <t>Siamak Shahandashti</t>
        </is>
      </c>
      <c r="B29" s="7" t="n">
        <v>459.84</v>
      </c>
      <c r="C29" s="7" t="n">
        <v>478.3</v>
      </c>
      <c r="D29" s="7" t="n">
        <v>339.2</v>
      </c>
      <c r="E29" s="7">
        <f>SUM(B29:D29)</f>
        <v/>
      </c>
    </row>
    <row r="30">
      <c r="A30" t="inlineStr">
        <is>
          <t>Felix Ulrich-Oltean</t>
        </is>
      </c>
      <c r="B30" s="7" t="n">
        <v>423.43</v>
      </c>
      <c r="C30" s="7" t="n">
        <v>212.2</v>
      </c>
      <c r="D30" s="7" t="n">
        <v>175</v>
      </c>
      <c r="E30" s="7">
        <f>SUM(B30:D30)</f>
        <v/>
      </c>
    </row>
    <row r="31">
      <c r="A31" t="inlineStr">
        <is>
          <t>Peter Nightingale</t>
        </is>
      </c>
      <c r="B31" s="7" t="n">
        <v>1591.03</v>
      </c>
      <c r="C31" s="7" t="n">
        <v>300.2</v>
      </c>
      <c r="D31" s="7" t="n">
        <v>339.2</v>
      </c>
      <c r="E31" s="7">
        <f>SUM(B31:D31)</f>
        <v/>
      </c>
    </row>
    <row r="32">
      <c r="A32" t="inlineStr">
        <is>
          <t>James Walker</t>
        </is>
      </c>
      <c r="B32" s="7" t="n">
        <v>633.04</v>
      </c>
      <c r="C32" s="7" t="n">
        <v>1000.8</v>
      </c>
      <c r="D32" s="7" t="n">
        <v>175</v>
      </c>
      <c r="E32" s="7">
        <f>SUM(B32:D32)</f>
        <v/>
      </c>
    </row>
    <row r="33">
      <c r="A33" t="inlineStr">
        <is>
          <t>Simon Foster</t>
        </is>
      </c>
      <c r="B33" s="7" t="n">
        <v>445.0966666666667</v>
      </c>
      <c r="C33" s="7" t="n">
        <v>276.2</v>
      </c>
      <c r="D33" s="7" t="n">
        <v>175</v>
      </c>
      <c r="E33" s="7">
        <f>SUM(B33:D33)</f>
        <v/>
      </c>
    </row>
    <row r="34">
      <c r="A34" t="inlineStr">
        <is>
          <t>Claire Ingram</t>
        </is>
      </c>
      <c r="B34" s="7" t="n">
        <v>227.885</v>
      </c>
      <c r="C34" s="7" t="n">
        <v>164.2</v>
      </c>
      <c r="D34" s="7" t="n">
        <v>257.1</v>
      </c>
      <c r="E34" s="7">
        <f>SUM(B34:D34)</f>
        <v/>
      </c>
    </row>
    <row r="35">
      <c r="A35" t="inlineStr">
        <is>
          <t>James Stovold</t>
        </is>
      </c>
      <c r="B35" s="7" t="n">
        <v>1179.04</v>
      </c>
      <c r="C35" s="7" t="n">
        <v>164.2</v>
      </c>
      <c r="D35" s="7" t="n">
        <v>257.1</v>
      </c>
      <c r="E35" s="7">
        <f>SUM(B35:D35)</f>
        <v/>
      </c>
    </row>
    <row r="36">
      <c r="A36" t="inlineStr">
        <is>
          <t>Katrina Attwood</t>
        </is>
      </c>
      <c r="B36" s="7" t="n">
        <v>1093.56</v>
      </c>
      <c r="C36" s="7" t="n">
        <v>212.2</v>
      </c>
      <c r="D36" s="7" t="n">
        <v>503.4</v>
      </c>
      <c r="E36" s="7">
        <f>SUM(B36:D36)</f>
        <v/>
      </c>
    </row>
    <row r="37">
      <c r="A37" t="inlineStr">
        <is>
          <t>Mike O'Dea</t>
        </is>
      </c>
      <c r="B37" s="7" t="n">
        <v>842.075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Colin Paterson</t>
        </is>
      </c>
      <c r="B38" s="7" t="n">
        <v>228.8</v>
      </c>
      <c r="C38" s="7" t="n">
        <v>579.76</v>
      </c>
      <c r="D38" s="7" t="n">
        <v>175</v>
      </c>
      <c r="E38" s="7">
        <f>SUM(B38:D38)</f>
        <v/>
      </c>
    </row>
    <row r="39">
      <c r="A39" t="inlineStr">
        <is>
          <t>Robbert Jongeling</t>
        </is>
      </c>
      <c r="B39" s="7" t="n">
        <v>1009.28</v>
      </c>
      <c r="C39" s="7" t="n">
        <v>164.2</v>
      </c>
      <c r="D39" s="7" t="n">
        <v>175</v>
      </c>
      <c r="E39" s="7">
        <f>SUM(B39:D39)</f>
        <v/>
      </c>
    </row>
    <row r="40">
      <c r="A40" t="inlineStr">
        <is>
          <t>Roberto Metere</t>
        </is>
      </c>
      <c r="B40" s="7" t="n">
        <v>1079.741666666667</v>
      </c>
      <c r="C40" s="7" t="n">
        <v>268.2</v>
      </c>
      <c r="D40" s="7" t="n">
        <v>175</v>
      </c>
      <c r="E40" s="7">
        <f>SUM(B40:D40)</f>
        <v/>
      </c>
    </row>
    <row r="41">
      <c r="A41" t="inlineStr">
        <is>
          <t>Yan Jia</t>
        </is>
      </c>
      <c r="B41" s="7" t="n">
        <v>468.67</v>
      </c>
      <c r="C41" s="7" t="n">
        <v>638.7</v>
      </c>
      <c r="D41" s="7" t="n">
        <v>175</v>
      </c>
      <c r="E41" s="7">
        <f>SUM(B41:D41)</f>
        <v/>
      </c>
    </row>
    <row r="42">
      <c r="A42" t="inlineStr">
        <is>
          <t>Detlef Plump</t>
        </is>
      </c>
      <c r="B42" s="7" t="n">
        <v>333.66</v>
      </c>
      <c r="C42" s="7" t="n">
        <v>260.2</v>
      </c>
      <c r="D42" s="7" t="n">
        <v>503.4</v>
      </c>
      <c r="E42" s="7">
        <f>SUM(B42:D42)</f>
        <v/>
      </c>
    </row>
    <row r="43">
      <c r="A43" t="inlineStr">
        <is>
          <t>Dimitris Kolovos</t>
        </is>
      </c>
      <c r="B43" s="7" t="n">
        <v>413.92</v>
      </c>
      <c r="C43" s="7" t="n">
        <v>1114.9</v>
      </c>
      <c r="D43" s="7" t="n">
        <v>175</v>
      </c>
      <c r="E43" s="7">
        <f>SUM(B43:D43)</f>
        <v/>
      </c>
    </row>
    <row r="44">
      <c r="A44" t="inlineStr">
        <is>
          <t>Frank Soboczenski</t>
        </is>
      </c>
      <c r="B44" s="7" t="n">
        <v>463.8</v>
      </c>
      <c r="C44" s="7" t="n">
        <v>1794.42</v>
      </c>
      <c r="D44" s="7" t="n">
        <v>257.1</v>
      </c>
      <c r="E44" s="7">
        <f>SUM(B44:D44)</f>
        <v/>
      </c>
    </row>
    <row r="45">
      <c r="A45" t="inlineStr">
        <is>
          <t>Xinwei Fang</t>
        </is>
      </c>
      <c r="B45" s="7" t="n">
        <v>757.505</v>
      </c>
      <c r="C45" s="7" t="n">
        <v>244.2</v>
      </c>
      <c r="D45" s="7" t="n">
        <v>257.1</v>
      </c>
      <c r="E45" s="7">
        <f>SUM(B45:D45)</f>
        <v/>
      </c>
    </row>
    <row r="46">
      <c r="A46" t="inlineStr">
        <is>
          <t>Tommy Yuan</t>
        </is>
      </c>
      <c r="B46" s="7" t="n">
        <v>1703.513333333333</v>
      </c>
      <c r="C46" s="7" t="n">
        <v>364.2</v>
      </c>
      <c r="D46" s="7" t="n">
        <v>339.2</v>
      </c>
      <c r="E46" s="7">
        <f>SUM(B46:D46)</f>
        <v/>
      </c>
    </row>
    <row r="47">
      <c r="A47" t="inlineStr">
        <is>
          <t>Pourya Shamsolmoali</t>
        </is>
      </c>
      <c r="B47" s="7" t="n">
        <v>1012.115</v>
      </c>
      <c r="C47" s="7" t="n">
        <v>228.2</v>
      </c>
      <c r="D47" s="7" t="n">
        <v>298.15</v>
      </c>
      <c r="E47" s="7">
        <f>SUM(B47:D47)</f>
        <v/>
      </c>
    </row>
    <row r="48">
      <c r="A48" t="inlineStr">
        <is>
          <t>Christopher Crispin-Bailey</t>
        </is>
      </c>
      <c r="B48" s="7" t="n">
        <v>532.6533333333334</v>
      </c>
      <c r="C48" s="7" t="n">
        <v>164.2</v>
      </c>
      <c r="D48" s="7" t="n">
        <v>462.35</v>
      </c>
      <c r="E48" s="7">
        <f>SUM(B48:D48)</f>
        <v/>
      </c>
    </row>
    <row r="49">
      <c r="A49" t="inlineStr">
        <is>
          <t>Da Li</t>
        </is>
      </c>
      <c r="B49" s="7" t="n">
        <v>410.8</v>
      </c>
      <c r="C49" s="7" t="n">
        <v>164.2</v>
      </c>
      <c r="D49" s="7" t="n">
        <v>175</v>
      </c>
      <c r="E49" s="7">
        <f>SUM(B49:D49)</f>
        <v/>
      </c>
    </row>
    <row r="50">
      <c r="A50" t="inlineStr">
        <is>
          <t>Vasileios Vasilakis</t>
        </is>
      </c>
      <c r="B50" s="7" t="n">
        <v>332.795</v>
      </c>
      <c r="C50" s="7" t="n">
        <v>356.2</v>
      </c>
      <c r="D50" s="7" t="n">
        <v>339.2</v>
      </c>
      <c r="E50" s="7">
        <f>SUM(B50:D50)</f>
        <v/>
      </c>
    </row>
    <row r="51">
      <c r="A51" t="inlineStr">
        <is>
          <t>Antonio Garcia-Dominguez</t>
        </is>
      </c>
      <c r="B51" s="7" t="n">
        <v>975.7866666666666</v>
      </c>
      <c r="C51" s="7" t="n">
        <v>644.6000000000001</v>
      </c>
      <c r="D51" s="7" t="n">
        <v>175</v>
      </c>
      <c r="E51" s="7">
        <f>SUM(B51:D51)</f>
        <v/>
      </c>
    </row>
    <row r="52">
      <c r="A52" t="inlineStr">
        <is>
          <t>Pedro Ribeiro</t>
        </is>
      </c>
      <c r="B52" s="7" t="n">
        <v>1002.263333333333</v>
      </c>
      <c r="C52" s="7" t="n">
        <v>644.6</v>
      </c>
      <c r="D52" s="7" t="n">
        <v>339.2</v>
      </c>
      <c r="E52" s="7">
        <f>SUM(B52:D52)</f>
        <v/>
      </c>
    </row>
    <row r="53">
      <c r="A53" t="inlineStr">
        <is>
          <t>Poonam Yadav</t>
        </is>
      </c>
      <c r="B53" s="7" t="n">
        <v>562.12</v>
      </c>
      <c r="C53" s="7" t="n">
        <v>1112.8</v>
      </c>
      <c r="D53" s="7" t="n">
        <v>339.2</v>
      </c>
      <c r="E53" s="7">
        <f>SUM(B53:D53)</f>
        <v/>
      </c>
    </row>
    <row r="54">
      <c r="A54" t="inlineStr">
        <is>
          <t>Adrian Bors</t>
        </is>
      </c>
      <c r="B54" s="7" t="n">
        <v>677.3</v>
      </c>
      <c r="C54" s="7" t="n">
        <v>412.2</v>
      </c>
      <c r="D54" s="7" t="n">
        <v>257.1</v>
      </c>
      <c r="E54" s="7">
        <f>SUM(B54:D54)</f>
        <v/>
      </c>
    </row>
    <row r="55">
      <c r="A55" t="inlineStr">
        <is>
          <t>Pengcheng Liu</t>
        </is>
      </c>
      <c r="B55" s="7" t="n">
        <v>229.3</v>
      </c>
      <c r="C55" s="7" t="n">
        <v>996.5800000000002</v>
      </c>
      <c r="D55" s="7" t="n">
        <v>175</v>
      </c>
      <c r="E55" s="7">
        <f>SUM(B55:D55)</f>
        <v/>
      </c>
    </row>
    <row r="56">
      <c r="A56" t="inlineStr">
        <is>
          <t>Iain Bate</t>
        </is>
      </c>
      <c r="B56" s="7" t="n">
        <v>30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2026-08-09T16:12:11Z</dcterms:created>
  <dcterms:modified xmlns:dcterms="http://purl.org/dc/terms/" xmlns:xsi="http://www.w3.org/2001/XMLSchema-instance" xsi:type="dcterms:W3CDTF">2026-08-09T16:12:11Z</dcterms:modified>
</cp:coreProperties>
</file>