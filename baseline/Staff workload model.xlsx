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Workload" sheetId="1" state="visible" r:id="rId1"/>
    <sheet xmlns:r="http://schemas.openxmlformats.org/officeDocument/2006/relationships" name="Workload Charts" sheetId="2" state="visible" r:id="rId2"/>
    <sheet xmlns:r="http://schemas.openxmlformats.org/officeDocument/2006/relationships" name="Detailed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wrapText="1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Workload Summary: Teaching, Research &amp; Administration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'Staff Workload'!D1</f>
            </strRef>
          </tx>
          <spPr>
            <a:ln xmlns:a="http://schemas.openxmlformats.org/drawingml/2006/main">
              <a:prstDash val="solid"/>
            </a:ln>
          </spPr>
          <cat>
            <strRef>
              <f>'Staff Workload'!$A$2:$A$67</f>
            </strRef>
          </cat>
          <val>
            <numRef>
              <f>'Staff Workload'!$D$2:$D$67</f>
            </numRef>
          </val>
        </ser>
        <ser>
          <idx val="1"/>
          <order val="1"/>
          <tx>
            <strRef>
              <f>'Staff Workload'!E1</f>
            </strRef>
          </tx>
          <spPr>
            <a:ln xmlns:a="http://schemas.openxmlformats.org/drawingml/2006/main">
              <a:prstDash val="solid"/>
            </a:ln>
          </spPr>
          <cat>
            <strRef>
              <f>'Staff Workload'!$A$2:$A$67</f>
            </strRef>
          </cat>
          <val>
            <numRef>
              <f>'Staff Workload'!$E$2:$E$67</f>
            </numRef>
          </val>
        </ser>
        <ser>
          <idx val="2"/>
          <order val="2"/>
          <tx>
            <strRef>
              <f>'Staff Workload'!F1</f>
            </strRef>
          </tx>
          <spPr>
            <a:ln xmlns:a="http://schemas.openxmlformats.org/drawingml/2006/main">
              <a:prstDash val="solid"/>
            </a:ln>
          </spPr>
          <cat>
            <strRef>
              <f>'Staff Workload'!$A$2:$A$67</f>
            </strRef>
          </cat>
          <val>
            <numRef>
              <f>'Staff Workload'!$F$2:$F$67</f>
            </numRef>
          </val>
        </ser>
        <dLbls>
          <showVal val="1"/>
          <showCatName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Staff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Detailed Workload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'Detailed Breakdown'!B1</f>
            </strRef>
          </tx>
          <spPr>
            <a:ln xmlns:a="http://schemas.openxmlformats.org/drawingml/2006/main">
              <a:prstDash val="solid"/>
            </a:ln>
          </spPr>
          <cat>
            <strRef>
              <f>'Detailed Breakdown'!$A$2:$A$67</f>
            </strRef>
          </cat>
          <val>
            <numRef>
              <f>'Detailed Breakdown'!$B$2:$B$67</f>
            </numRef>
          </val>
        </ser>
        <ser>
          <idx val="1"/>
          <order val="1"/>
          <tx>
            <strRef>
              <f>'Detailed Breakdown'!C1</f>
            </strRef>
          </tx>
          <spPr>
            <a:ln xmlns:a="http://schemas.openxmlformats.org/drawingml/2006/main">
              <a:prstDash val="solid"/>
            </a:ln>
          </spPr>
          <cat>
            <strRef>
              <f>'Detailed Breakdown'!$A$2:$A$67</f>
            </strRef>
          </cat>
          <val>
            <numRef>
              <f>'Detailed Breakdown'!$C$2:$C$67</f>
            </numRef>
          </val>
        </ser>
        <ser>
          <idx val="2"/>
          <order val="2"/>
          <tx>
            <strRef>
              <f>'Detailed Breakdown'!D1</f>
            </strRef>
          </tx>
          <spPr>
            <a:ln xmlns:a="http://schemas.openxmlformats.org/drawingml/2006/main">
              <a:prstDash val="solid"/>
            </a:ln>
          </spPr>
          <cat>
            <strRef>
              <f>'Detailed Breakdown'!$A$2:$A$67</f>
            </strRef>
          </cat>
          <val>
            <numRef>
              <f>'Detailed Breakdown'!$D$2:$D$67</f>
            </numRef>
          </val>
        </ser>
        <dLbls>
          <showVal val="1"/>
          <showCatName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Staff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800000" cy="21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8800000" cy="21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6" customWidth="1" min="4" max="4"/>
    <col width="16" customWidth="1" min="5" max="5"/>
    <col width="14" customWidth="1" min="6" max="6"/>
    <col width="40" customWidth="1" min="7" max="7"/>
    <col width="35" customWidth="1" min="8" max="8"/>
    <col width="30" customWidth="1" min="9" max="9"/>
    <col width="25" customWidth="1" min="10" max="10"/>
    <col width="25" customWidth="1" min="11" max="11"/>
    <col width="35" customWidth="1" min="12" max="12"/>
  </cols>
  <sheetData>
    <row r="1">
      <c r="A1" s="1" t="inlineStr">
        <is>
          <t>Name</t>
        </is>
      </c>
      <c r="B1" s="1" t="inlineStr">
        <is>
          <t>FTE</t>
        </is>
      </c>
      <c r="C1" s="1" t="inlineStr">
        <is>
          <t>Total Hours</t>
        </is>
      </c>
      <c r="D1" s="1" t="inlineStr">
        <is>
          <t>Teaching Hours</t>
        </is>
      </c>
      <c r="E1" s="1" t="inlineStr">
        <is>
          <t>Research Hours</t>
        </is>
      </c>
      <c r="F1" s="1" t="inlineStr">
        <is>
          <t>Admin Hours</t>
        </is>
      </c>
      <c r="G1" s="1" t="inlineStr">
        <is>
          <t>Teaching Detail</t>
        </is>
      </c>
      <c r="H1" s="1" t="inlineStr">
        <is>
          <t>Research Detail</t>
        </is>
      </c>
      <c r="I1" s="1" t="inlineStr">
        <is>
          <t>Admin Detail</t>
        </is>
      </c>
      <c r="J1" s="1" t="inlineStr">
        <is>
          <t>Assumptions</t>
        </is>
      </c>
      <c r="K1" s="1" t="inlineStr">
        <is>
          <t>Missing Data</t>
        </is>
      </c>
      <c r="L1" s="1" t="inlineStr">
        <is>
          <t>Manual Adjustments</t>
        </is>
      </c>
    </row>
    <row r="2">
      <c r="A2" s="2" t="inlineStr">
        <is>
          <t>Adrian Bors</t>
        </is>
      </c>
      <c r="B2" s="2" t="n">
        <v>1</v>
      </c>
      <c r="C2" s="3" t="n">
        <v>1112.8</v>
      </c>
      <c r="D2" s="3" t="n">
        <v>443.5</v>
      </c>
      <c r="E2" s="3" t="n">
        <v>412.2</v>
      </c>
      <c r="F2" s="3" t="n">
        <v>257.1</v>
      </c>
      <c r="G2" s="4" t="inlineStr">
        <is>
          <t>NLPG (20cr): Adrian Bors: Existing lecturer + new content (5x): 0.0h base @ 2.5x + 0.0h content dev; First time delivery: 1 sessions/week @ 2.0h each; - 5x lecturer rate applied (first session: 2.5x, repeats: 1.5x); Standard (15h/assess, manual): 3.8h main + 3.8h resit = 7.5h; Standard (15h/assess, manual): 3.8h main + 3.8h resit = 7.5h; Pastoral: 25 students x 3h = 75.0h; Projects: 11 projects x UG (16h) = 176.0h</t>
        </is>
      </c>
      <c r="H2" s="4" t="inlineStr">
        <is>
          <t>PhD supervision: 3x full-time PhD student × 80h/FTE; 1x assessor (8h each) = 248.0h</t>
        </is>
      </c>
      <c r="I2" s="4" t="inlineStr">
        <is>
          <t>Internationalisation and Visitors Coordinator: 5% of 1642h = 82.1h; Engagement (email/meetings): 100.0h; Personal development: 75.0h (FTE: 1.00)</t>
        </is>
      </c>
      <c r="J2" s="5" t="inlineStr">
        <is>
          <t>None</t>
        </is>
      </c>
      <c r="K2" s="5" t="inlineStr">
        <is>
          <t>NLPG: no student numbers in CS Module Numbers.csv - marking hours estimated from a default of 100 students</t>
        </is>
      </c>
      <c r="L2" s="5" t="inlineStr">
        <is>
          <t>None</t>
        </is>
      </c>
    </row>
    <row r="3">
      <c r="A3" s="2" t="inlineStr">
        <is>
          <t>Alena Denisova</t>
        </is>
      </c>
      <c r="B3" s="2" t="n">
        <v>1</v>
      </c>
      <c r="C3" s="3" t="n">
        <v>1266.6</v>
      </c>
      <c r="D3" s="3" t="n">
        <v>319</v>
      </c>
      <c r="E3" s="3" t="n">
        <v>444.2</v>
      </c>
      <c r="F3" s="3" t="n">
        <v>503.4</v>
      </c>
      <c r="G3" s="4" t="inlineStr">
        <is>
          <t>IDEV (20cr): Alena Denisova: Standard (2.5x): 0.0h/teacher @ 2.5x; Standard (15h/assess, manual): 7.5h main + 7.5h resit = 15.0h; Standard (15h/assess, manual): 7.5h main + 7.5h resit = 15.0h; PLEI (20cr): Alena Denisova: Standard (2.5x): 0.0h/teacher @ 2.5x; Standard (15h/assess, manual): 7.5h main + 7.5h resit = 15.0h; Standard (15h/assess, manual): 7.5h main + 7.5h resit = 15.0h; Pastoral: 27 students x 3h = 81.0h; Projects: 5 projects x UG (16h) = 80.0h</t>
        </is>
      </c>
      <c r="H3" s="4" t="inlineStr">
        <is>
          <t>PhD supervision: 1x full-time PhD student × 80h/FTE; 4x part-time PhD student × 48h/FTE; 1x assessor (8h each) = 280.0h</t>
        </is>
      </c>
      <c r="I3" s="4" t="inlineStr">
        <is>
          <t>Ethics Committee Chair: 20% of 1642h = 328.4h; Engagement (email/meetings): 100.0h; Personal development: 75.0h (FTE: 1.00)</t>
        </is>
      </c>
      <c r="J3" s="5" t="inlineStr">
        <is>
          <t>None</t>
        </is>
      </c>
      <c r="K3" s="5" t="inlineStr">
        <is>
          <t>None</t>
        </is>
      </c>
      <c r="L3" s="5" t="inlineStr">
        <is>
          <t>None</t>
        </is>
      </c>
    </row>
    <row r="4">
      <c r="A4" s="2" t="inlineStr">
        <is>
          <t>Alvaro Miyazawa</t>
        </is>
      </c>
      <c r="B4" s="2" t="n">
        <v>1</v>
      </c>
      <c r="C4" s="3" t="n">
        <v>927.2333333333333</v>
      </c>
      <c r="D4" s="3" t="n">
        <v>319.8333333333333</v>
      </c>
      <c r="E4" s="3" t="n">
        <v>268.2</v>
      </c>
      <c r="F4" s="3" t="n">
        <v>339.2</v>
      </c>
      <c r="G4" s="4" t="inlineStr">
        <is>
          <t>ARIA (20cr): Alvaro Miyazawa: Existing lecturer + new content (5x): 0.0h base @ 2.5x + 0.0h content dev; Standard (15h/assess, manual): 2.5h main + 2.5h resit = 5.0h; Standard (15h/assess, manual): 2.5h main + 2.5h resit = 5.0h; Standard (15h/assess, manual): 2.5h main + 2.5h resit = 5.0h; AURO (20cr): Alvaro Miyazawa: Standard (2.5x): 0.0h/teacher @ 2.5x; Standard (15h/assess, manual): 2.5h main + 2.5h resit = 5.0h; Standard (15h/assess, manual): 2.5h main + 2.5h resit = 5.0h; New setter (15h/assess, manual): 2.5h main + 2.5h resit = 7.5h; THE2 (20cr): Alvaro Miyazawa: Standard (2.5x): 0.0h/teacher @ 2.5x; Standard (15h/assess, manual): 2.5h main + 2.5h resit = 5.0h; Standard (15h/assess, manual): 2.5h main + 2.5h resit = 5.0h; Standard (15h/assess, manual): 2.5h main + 2.5h resit = 5.0h; Pastoral: 13 students x 3h = 39.0h; Projects: 4 projects x UG (16h) = 64.0h</t>
        </is>
      </c>
      <c r="H4" s="4" t="inlineStr">
        <is>
          <t>PhD supervision: 2x part-time PhD student × 48h/FTE; 1x assessor (8h each) = 104.0h</t>
        </is>
      </c>
      <c r="I4" s="4" t="inlineStr">
        <is>
          <t>Deputy CBoEs: 10% of 1642h = 164.2h; Engagement (email/meetings): 100.0h; Personal development: 75.0h (FTE: 1.00)</t>
        </is>
      </c>
      <c r="J4" s="5" t="inlineStr">
        <is>
          <t>None</t>
        </is>
      </c>
      <c r="K4" s="5" t="inlineStr">
        <is>
          <t>ARIA: no student numbers in CS Module Numbers.csv - marking hours estimated from a default of 100 students</t>
        </is>
      </c>
      <c r="L4" s="5" t="inlineStr">
        <is>
          <t>None</t>
        </is>
      </c>
    </row>
    <row r="5">
      <c r="A5" s="2" t="inlineStr">
        <is>
          <t>Ana Cavalcanti</t>
        </is>
      </c>
      <c r="B5" s="2" t="n">
        <v>1</v>
      </c>
      <c r="C5" s="3" t="n">
        <v>805.3000000000001</v>
      </c>
      <c r="D5" s="3" t="n">
        <v>0</v>
      </c>
      <c r="E5" s="3" t="n">
        <v>548.2</v>
      </c>
      <c r="F5" s="3" t="n">
        <v>257.1</v>
      </c>
      <c r="G5" s="4" t="inlineStr"/>
      <c r="H5" s="4" t="inlineStr">
        <is>
          <t>PhD supervision: 8x part-time PhD student × 48h/FTE = 384.0h</t>
        </is>
      </c>
      <c r="I5" s="4" t="inlineStr">
        <is>
          <t>Research Group Leader: 5% of 1642h = 82.1h; Engagement (email/meetings): 100.0h; Personal development: 75.0h (FTE: 1.00)</t>
        </is>
      </c>
      <c r="J5" s="5" t="inlineStr">
        <is>
          <t>None</t>
        </is>
      </c>
      <c r="K5" s="5" t="inlineStr">
        <is>
          <t>None</t>
        </is>
      </c>
      <c r="L5" s="5" t="inlineStr">
        <is>
          <t>None</t>
        </is>
      </c>
    </row>
    <row r="6">
      <c r="A6" s="2" t="inlineStr">
        <is>
          <t>Andrew Pomfret</t>
        </is>
      </c>
      <c r="B6" s="2" t="n">
        <v>1</v>
      </c>
      <c r="C6" s="3" t="n">
        <v>816.9333333333333</v>
      </c>
      <c r="D6" s="3" t="n">
        <v>395.6333333333333</v>
      </c>
      <c r="E6" s="3" t="n">
        <v>164.2</v>
      </c>
      <c r="F6" s="3" t="n">
        <v>257.1</v>
      </c>
      <c r="G6" s="4" t="inlineStr">
        <is>
          <t>SYS1 (20cr): Andrew Pomfret: Standard (2.5x): 0.0h/teacher @ 2.5x; First time delivery: 1 sessions/week @ 2.0h each; - 2.5x lecturer rate applied (first session: 2.5x, repeats: 1.5x); Standard (15h/assess, manual): 2.5h main + 2.5h resit = 5.0h; Standard (15h/assess, manual): 2.5h main + 2.5h resit = 5.0h; Standard (15h/assess, manual): 2.5h main + 2.5h resit = 5.0h; SYS2 (20cr): Andrew Pomfret: Standard (2.5x): 0.0h/teacher @ 2.5x; First time delivery: 1 sessions/week @ 2.0h each; - Per-teacher rates applied: Andrew Pomfret: 2.5x, Mike Freeman: 2.5x, Christopher Crispin-Bailey: 5x; Standard (15h/assess, manual): 2.5h main + 2.5h resit = 5.0h; Standard (15h/assess, manual): 2.5h main + 2.5h resit = 5.0h; New setter (15h/assess, manual): 2.5h main + 2.5h resit = 7.5h; Pastoral: 11 students x 3h = 33.0h; Projects: 5 projects x UG (16h) = 80.0h</t>
        </is>
      </c>
      <c r="H6" s="4" t="inlineStr">
        <is>
          <t>No research activities recorded</t>
        </is>
      </c>
      <c r="I6" s="4" t="inlineStr">
        <is>
          <t>Academic Admissions Team: 5% of 1642h = 82.1h; Engagement (email/meetings): 100.0h; Personal development: 75.0h (FTE: 1.00)</t>
        </is>
      </c>
      <c r="J6" s="5" t="inlineStr">
        <is>
          <t>None</t>
        </is>
      </c>
      <c r="K6" s="5" t="inlineStr">
        <is>
          <t>None</t>
        </is>
      </c>
      <c r="L6" s="5" t="inlineStr">
        <is>
          <t>None</t>
        </is>
      </c>
    </row>
    <row r="7">
      <c r="A7" s="2" t="inlineStr">
        <is>
          <t>Antonio Garcia-Dominguez</t>
        </is>
      </c>
      <c r="B7" s="2" t="n">
        <v>1</v>
      </c>
      <c r="C7" s="3" t="n">
        <v>848.5</v>
      </c>
      <c r="D7" s="3" t="n">
        <v>357.3</v>
      </c>
      <c r="E7" s="3" t="n">
        <v>316.2</v>
      </c>
      <c r="F7" s="3" t="n">
        <v>175</v>
      </c>
      <c r="G7" s="4" t="inlineStr">
        <is>
          <t>ELLA (20cr): Antonio Garcia-Dominguez: Existing lecturer + new content (5x): 0.0h base @ 2.5x + 0.0h content dev; First time delivery: 1 sessions/week @ 2.0h each; - Per-teacher rates applied: Antonio Garcia-Dominguez: 5x, &lt;new hire&gt;: 7.5x; Standard (15h/assess, manual): 3.8h main + 3.8h resit = 7.5h; New setter (15h/assess, manual): 3.8h main + 3.8h resit = 11.2h; ENG2 (20cr): Antonio Garcia-Dominguez: Standard (2.5x): 0.0h/teacher @ 2.5x; Standard (15h/assess, manual): 2.5h main + 2.5h resit = 5.0h; Standard (15h/assess, manual): 2.5h main + 2.5h resit = 5.0h; Standard (15h/assess, manual): 2.5h main + 2.5h resit = 5.0h; Pastoral: 12 students x 3h = 36.0h; Projects: 4 projects x UG (16h) = 64.0h</t>
        </is>
      </c>
      <c r="H7" s="4" t="inlineStr">
        <is>
          <t>PhD supervision: 3x part-time PhD student × 48h/FTE; 1x assessor (8h each) = 152.0h</t>
        </is>
      </c>
      <c r="I7" s="4" t="inlineStr">
        <is>
          <t>Engagement (email/meetings): 100.0h; Personal development: 75.0h (FTE: 1.00)</t>
        </is>
      </c>
      <c r="J7" s="5" t="inlineStr">
        <is>
          <t>None</t>
        </is>
      </c>
      <c r="K7" s="5" t="inlineStr">
        <is>
          <t>No administrative roles assigned; ELLA: no student numbers in CS Module Numbers.csv - marking hours estimated from a default of 100 students</t>
        </is>
      </c>
      <c r="L7" s="5" t="inlineStr">
        <is>
          <t>None</t>
        </is>
      </c>
    </row>
    <row r="8">
      <c r="A8" s="2" t="inlineStr">
        <is>
          <t>Carlo Ottaviani</t>
        </is>
      </c>
      <c r="B8" s="2" t="n">
        <v>1</v>
      </c>
      <c r="C8" s="3" t="n">
        <v>1014.933333333333</v>
      </c>
      <c r="D8" s="3" t="n">
        <v>407.5333333333333</v>
      </c>
      <c r="E8" s="3" t="n">
        <v>268.2</v>
      </c>
      <c r="F8" s="3" t="n">
        <v>339.2</v>
      </c>
      <c r="G8" s="4" t="inlineStr">
        <is>
          <t>CTAP (20cr): Carlo Ottaviani: Standard (2.5x): 0.0h/teacher @ 2.5x; First time delivery: 1 sessions/week @ 3.0h each; - 2.5x lecturer rate applied (first session: 2.5x, repeats: 1.5x); Standard (15h/assess, manual): 2.5h main + 2.5h resit = 5.0h; Standard (15h/assess, manual): 2.5h main + 2.5h resit = 5.0h; Standard (15h/assess, manual): 2.5h main + 2.5h resit = 5.0h; PRAD (20cr): Carlo Ottaviani: Standard (2.5x): 0.0h/teacher @ 2.5x; First time delivery: 1 sessions/week @ 2.0h each; - 2.5x lecturer rate applied (first session: 2.5x, repeats: 1.5x); Standard (15h/assess, manual): 3.8h main + 3.8h resit = 7.5h; Standard (15h/assess, manual): 3.8h main + 3.8h resit = 7.5h; Pastoral: 26 students x 3h = 78.0h; Projects: 6 projects x UG (16h) = 96.0h</t>
        </is>
      </c>
      <c r="H8" s="4" t="inlineStr">
        <is>
          <t>PhD supervision: 1x full-time PhD student × 80h/FTE; 3x assessor (8h each) = 104.0h</t>
        </is>
      </c>
      <c r="I8" s="4" t="inlineStr">
        <is>
          <t>Progression Panel: 10% of 1642h = 164.2h; Engagement (email/meetings): 100.0h; Personal development: 75.0h (FTE: 1.00)</t>
        </is>
      </c>
      <c r="J8" s="5" t="inlineStr">
        <is>
          <t>None</t>
        </is>
      </c>
      <c r="K8" s="5" t="inlineStr">
        <is>
          <t>None</t>
        </is>
      </c>
      <c r="L8" s="5" t="inlineStr">
        <is>
          <t>None</t>
        </is>
      </c>
    </row>
    <row r="9">
      <c r="A9" s="2" t="inlineStr">
        <is>
          <t>Christopher Crispin-Bailey</t>
        </is>
      </c>
      <c r="B9" s="2" t="n">
        <v>1</v>
      </c>
      <c r="C9" s="3" t="n">
        <v>1219.65</v>
      </c>
      <c r="D9" s="3" t="n">
        <v>593.1</v>
      </c>
      <c r="E9" s="3" t="n">
        <v>164.2</v>
      </c>
      <c r="F9" s="3" t="n">
        <v>462.35</v>
      </c>
      <c r="G9" s="4" t="inlineStr">
        <is>
          <t>SYS2 (20cr): Christopher Crispin-Bailey: New lecturer (5x): 0.0h base @ 2.5x + 0.0h content dev; First time delivery: 1 sessions/week @ 2.0h each; - Per-teacher rates applied: Andrew Pomfret: 2.5x, Mike Freeman: 2.5x, Christopher Crispin-Bailey: 5x; Standard (15h/assess, manual): 2.5h main + 2.5h resit = 5.0h; Standard (15h/assess, manual): 2.5h main + 2.5h resit = 5.0h; New setter (15h/assess, manual): 2.5h main + 2.5h resit = 7.5h; SYS3 (20cr): Christopher Crispin-Bailey: Standard (2.5x): 0.0h/teacher @ 2.5x; First time delivery: 1 sessions/week @ 2.0h each; - 2.5x lecturer rate applied (first session: 2.5x, repeats: 1.5x); Standard (15h/assess, manual): 3.8h main + 3.8h resit = 7.5h; Standard (15h/assess, manual): 3.8h main + 3.8h resit = 7.5h; Pastoral: 19 students x 3h = 57.0h; Projects: 7 projects x UG (16h) = 112.0h</t>
        </is>
      </c>
      <c r="H9" s="4" t="inlineStr">
        <is>
          <t>No research activities recorded</t>
        </is>
      </c>
      <c r="I9" s="4" t="inlineStr">
        <is>
          <t>GTA Coordinator: 10% of 1642h = 164.2h; Union: 8% of 1642h = 123.1h; Engagement (email/meetings): 100.0h; Personal development: 75.0h (FTE: 1.00)</t>
        </is>
      </c>
      <c r="J9" s="5" t="inlineStr">
        <is>
          <t>None</t>
        </is>
      </c>
      <c r="K9" s="5" t="inlineStr">
        <is>
          <t>None</t>
        </is>
      </c>
      <c r="L9" s="5" t="inlineStr">
        <is>
          <t>None</t>
        </is>
      </c>
    </row>
    <row r="10">
      <c r="A10" s="2" t="inlineStr">
        <is>
          <t>Claire Ingram</t>
        </is>
      </c>
      <c r="B10" s="2" t="n">
        <v>1</v>
      </c>
      <c r="C10" s="3" t="n">
        <v>820.9</v>
      </c>
      <c r="D10" s="3" t="n">
        <v>399.6</v>
      </c>
      <c r="E10" s="3" t="n">
        <v>164.2</v>
      </c>
      <c r="F10" s="3" t="n">
        <v>257.1</v>
      </c>
      <c r="G10" s="4" t="inlineStr">
        <is>
          <t>HINT (20cr): Claire Ingram: Standard (2.5x): 0.0h/teacher @ 2.5x; Standard (15h/assess, manual): 3.8h main + 3.8h resit = 7.5h; Standard (15h/assess, manual): 3.8h main + 3.8h resit = 7.5h; REMS (20cr): Claire Ingram: Standard (2.5x): 0.0h/teacher @ 2.5x; Standard (15h/assess, manual): 7.5h main + 7.5h resit = 15.0h; Standard (15h/assess, manual): 7.5h main + 7.5h resit = 15.0h; Pastoral: 1 students x 3h = 3.0h; Projects: 10 projects x MSc (24h) = 240.0h</t>
        </is>
      </c>
      <c r="H10" s="4" t="inlineStr">
        <is>
          <t>No research activities recorded</t>
        </is>
      </c>
      <c r="I10" s="4" t="inlineStr">
        <is>
          <t>Outreach and Extra-Curricular Activities: 5% of 1642h = 82.1h; Engagement (email/meetings): 100.0h; Personal development: 75.0h (FTE: 1.00)</t>
        </is>
      </c>
      <c r="J10" s="5" t="inlineStr">
        <is>
          <t>None</t>
        </is>
      </c>
      <c r="K10" s="5" t="inlineStr">
        <is>
          <t>None</t>
        </is>
      </c>
      <c r="L10" s="5" t="inlineStr">
        <is>
          <t>None</t>
        </is>
      </c>
    </row>
    <row r="11">
      <c r="A11" s="2" t="inlineStr">
        <is>
          <t>Claudio Guarnera</t>
        </is>
      </c>
      <c r="B11" s="2" t="n">
        <v>0.4</v>
      </c>
      <c r="C11" s="3" t="n">
        <v>444.5466666666667</v>
      </c>
      <c r="D11" s="3" t="n">
        <v>196.8666666666667</v>
      </c>
      <c r="E11" s="3" t="n">
        <v>177.68</v>
      </c>
      <c r="F11" s="3" t="n">
        <v>70</v>
      </c>
      <c r="G11" s="4" t="inlineStr">
        <is>
          <t>IMLO (20cr): Claudio Guarnera: Standard (2.5x): 0.0h/teacher @ 2.5x; First time delivery: 1 sessions/week @ 2.0h each; - Per-teacher rates applied: James Stovold: 5x, Claudio Guarnera: 2.5x, James Walker: 2.5x; New setter (15h/assess, manual): 5.0h main + 5.0h resit = 15.0h; Standard (15h/assess, manual): 5.0h main + 5.0h resit = 10.0h; Standard (15h/assess, manual): 5.0h main + 5.0h resit = 10.0h; Pastoral: 10 students x 3h = 30.0h; Projects: 2 projects x UG (16h) = 32.0h</t>
        </is>
      </c>
      <c r="H11" s="4" t="inlineStr">
        <is>
          <t>PhD supervision: 2x part-time PhD student × 48h/FTE; 2x assessor (8h each) = 112.0h</t>
        </is>
      </c>
      <c r="I11" s="4" t="inlineStr">
        <is>
          <t>Engagement (email/meetings): 40.0h; Personal development: 30.0h (FTE: 0.40)</t>
        </is>
      </c>
      <c r="J11" s="5" t="inlineStr">
        <is>
          <t>None</t>
        </is>
      </c>
      <c r="K11" s="5" t="inlineStr">
        <is>
          <t>No administrative roles assigned</t>
        </is>
      </c>
      <c r="L11" s="5" t="inlineStr">
        <is>
          <t>None</t>
        </is>
      </c>
    </row>
    <row r="12">
      <c r="A12" s="2" t="inlineStr">
        <is>
          <t>Colin Paterson</t>
        </is>
      </c>
      <c r="B12" s="2" t="n">
        <v>1</v>
      </c>
      <c r="C12" s="3" t="n">
        <v>844.5999999999999</v>
      </c>
      <c r="D12" s="3" t="n">
        <v>385.4</v>
      </c>
      <c r="E12" s="3" t="n">
        <v>284.2</v>
      </c>
      <c r="F12" s="3" t="n">
        <v>175</v>
      </c>
      <c r="G12" s="4" t="inlineStr">
        <is>
          <t>LPTC (20cr): Colin Paterson: Standard (2.5x): 0.0h/teacher @ 2.5x; New setter (15h/assess, manual): 3.8h main + 3.8h resit = 11.2h; Standard (15h/assess, manual): 3.8h main + 3.8h resit = 7.5h; ROCS (20cr): Colin Paterson: New lecturer (5x): 0.0h base @ 2.5x + 0.0h content dev; First time delivery: 1 sessions/week @ 2.0h each; - Per-teacher rates applied: William Smith: 2.5x, Mike O'Dea: 5x, Colin Paterson: 5x; Standard (15h/assess, manual): 5.0h main + 5.0h resit = 10.0h; New setter (15h/assess, manual): 5.0h main + 5.0h resit = 15.0h; New setter (15h/assess, manual): 5.0h main + 5.0h resit = 15.0h; Pastoral: 19 students x 3h = 57.0h; Projects: 6 projects x UG (16h) = 96.0h; Also teaches: Designing Safe AI (Safe AI 2) (SAINTS - not included in workload)</t>
        </is>
      </c>
      <c r="H12" s="4" t="inlineStr">
        <is>
          <t>PhD supervision: 2x part-time PhD student × 48h/FTE; 3x assessor (8h each) = 120.0h</t>
        </is>
      </c>
      <c r="I12" s="4" t="inlineStr">
        <is>
          <t>Engagement (email/meetings): 100.0h; Personal development: 75.0h (FTE: 1.00)</t>
        </is>
      </c>
      <c r="J12" s="5" t="inlineStr">
        <is>
          <t>None</t>
        </is>
      </c>
      <c r="K12" s="5" t="inlineStr">
        <is>
          <t>No administrative roles assigned; LPTC: no student numbers in CS Module Numbers.csv - marking hours estimated from a default of 100 students</t>
        </is>
      </c>
      <c r="L12" s="5" t="inlineStr">
        <is>
          <t>None</t>
        </is>
      </c>
    </row>
    <row r="13">
      <c r="A13" s="2" t="inlineStr">
        <is>
          <t>Da Li</t>
        </is>
      </c>
      <c r="B13" s="2" t="n">
        <v>1</v>
      </c>
      <c r="C13" s="3" t="n">
        <v>545.0333333333333</v>
      </c>
      <c r="D13" s="3" t="n">
        <v>205.8333333333333</v>
      </c>
      <c r="E13" s="3" t="n">
        <v>164.2</v>
      </c>
      <c r="F13" s="3" t="n">
        <v>175</v>
      </c>
      <c r="G13" s="4" t="inlineStr">
        <is>
          <t>LLMA (20cr): Da Li: New lecturer + new content (7.5x): 0.0h base @ 2.5x + 0.0h content dev; New setter (15h/assess, manual): 2.5h main + 2.5h resit = 7.5h; Standard (15h/assess, manual): 2.5h main + 2.5h resit = 5.0h; New setter (15h/assess, manual): 2.5h main + 2.5h resit = 7.5h; Pastoral: 25 students x 3h = 75.0h</t>
        </is>
      </c>
      <c r="H13" s="4" t="inlineStr">
        <is>
          <t>No research activities recorded</t>
        </is>
      </c>
      <c r="I13" s="4" t="inlineStr">
        <is>
          <t>Engagement (email/meetings): 100.0h; Personal development: 75.0h (FTE: 1.00)</t>
        </is>
      </c>
      <c r="J13" s="5" t="inlineStr">
        <is>
          <t>None</t>
        </is>
      </c>
      <c r="K13" s="5" t="inlineStr">
        <is>
          <t>No administrative roles assigned; LLMA: no student numbers in CS Module Numbers.csv - marking hours estimated from a default of 100 students</t>
        </is>
      </c>
      <c r="L13" s="5" t="inlineStr">
        <is>
          <t>None</t>
        </is>
      </c>
    </row>
    <row r="14">
      <c r="A14" s="2" t="inlineStr">
        <is>
          <t>David Pumfrey</t>
        </is>
      </c>
      <c r="B14" s="2" t="n">
        <v>0.5</v>
      </c>
      <c r="C14" s="3" t="n">
        <v>265.7</v>
      </c>
      <c r="D14" s="3" t="n">
        <v>96.09999999999999</v>
      </c>
      <c r="E14" s="3" t="n">
        <v>82.09999999999999</v>
      </c>
      <c r="F14" s="3" t="n">
        <v>87.5</v>
      </c>
      <c r="G14" s="4" t="inlineStr">
        <is>
          <t>HRAS (10cr): David Pumfrey: Standard (2.5x): 0.0h/teacher @ 2.5x; Standard (15h/assess, manual): 7.5h main + 7.5h resit = 15.0h; Standard (15h/assess, manual): 7.5h main + 7.5h resit = 15.0h; HUFS (10cr): David Pumfrey: Standard (2.5x): 0.0h/teacher @ 2.5x; Standard (15h/assess, manual): 3.8h main + 3.8h resit = 7.5h; Standard (15h/assess, manual): 3.8h main + 3.8h resit = 7.5h</t>
        </is>
      </c>
      <c r="H14" s="4" t="inlineStr">
        <is>
          <t>No research activities recorded</t>
        </is>
      </c>
      <c r="I14" s="4" t="inlineStr">
        <is>
          <t>Engagement (email/meetings): 50.0h; Personal development: 37.5h (FTE: 0.50)</t>
        </is>
      </c>
      <c r="J14" s="5" t="inlineStr">
        <is>
          <t>None</t>
        </is>
      </c>
      <c r="K14" s="5" t="inlineStr">
        <is>
          <t>No administrative roles assigned</t>
        </is>
      </c>
      <c r="L14" s="5" t="inlineStr">
        <is>
          <t>None</t>
        </is>
      </c>
    </row>
    <row r="15">
      <c r="A15" s="2" t="inlineStr">
        <is>
          <t>Dawn H Wood</t>
        </is>
      </c>
      <c r="B15" s="2" t="n">
        <v>1</v>
      </c>
      <c r="C15" s="3" t="n">
        <v>816</v>
      </c>
      <c r="D15" s="3" t="n">
        <v>476.8</v>
      </c>
      <c r="E15" s="3" t="n">
        <v>164.2</v>
      </c>
      <c r="F15" s="3" t="n">
        <v>175</v>
      </c>
      <c r="G15" s="4" t="inlineStr">
        <is>
          <t>SOF1 (20cr): Dawn H Wood: Standard (2.5x): 0.0h/teacher @ 2.5x; First time delivery: 1 sessions/week @ 2.0h each; - 2.5x lecturer rate applied (first session: 2.5x, repeats: 1.5x); Standard (15h/assess, manual): 2.5h main + 2.5h resit = 5.0h; Standard (15h/assess, manual): 2.5h main + 2.5h resit = 5.0h; Standard (15h/assess, manual): 2.5h main + 2.5h resit = 5.0h; SOF2 (20cr): Dawn H Wood: Standard (2.5x): 0.0h/teacher @ 2.5x; First time delivery: 1 sessions/week @ 1.0h each; - Per-teacher rates applied: Kofi Appiah: 2.5x, Dawn H Wood: 2.5x, Fang Yan: 5x; Standard (15h/assess, manual): 5.0h main + 5.0h resit = 10.0h; Standard (15h/assess, manual): 5.0h main + 5.0h resit = 10.0h; New setter (15h/assess, manual): 5.0h main + 5.0h resit = 15.0h; Pastoral: 13 students x 3h = 39.0h; Projects: 11 projects x UG (16h) = 176.0h</t>
        </is>
      </c>
      <c r="H15" s="4" t="inlineStr">
        <is>
          <t>No research activities recorded</t>
        </is>
      </c>
      <c r="I15" s="4" t="inlineStr">
        <is>
          <t>Engagement (email/meetings): 100.0h; Personal development: 75.0h (FTE: 1.00)</t>
        </is>
      </c>
      <c r="J15" s="5" t="inlineStr">
        <is>
          <t>None</t>
        </is>
      </c>
      <c r="K15" s="5" t="inlineStr">
        <is>
          <t>No administrative roles assigned</t>
        </is>
      </c>
      <c r="L15" s="5" t="inlineStr">
        <is>
          <t>None</t>
        </is>
      </c>
    </row>
    <row r="16">
      <c r="A16" s="2" t="inlineStr">
        <is>
          <t>Detlef Plump</t>
        </is>
      </c>
      <c r="B16" s="2" t="n">
        <v>1</v>
      </c>
      <c r="C16" s="3" t="n">
        <v>1152.983333333333</v>
      </c>
      <c r="D16" s="3" t="n">
        <v>389.3833333333333</v>
      </c>
      <c r="E16" s="3" t="n">
        <v>260.2</v>
      </c>
      <c r="F16" s="3" t="n">
        <v>503.4</v>
      </c>
      <c r="G16" s="4" t="inlineStr">
        <is>
          <t>THE2 (20cr): Detlef Plump: Standard (2.5x): 0.0h/teacher @ 2.5x; Standard (15h/assess, manual): 2.5h main + 2.5h resit = 5.0h; Standard (15h/assess, manual): 2.5h main + 2.5h resit = 5.0h; Standard (15h/assess, manual): 2.5h main + 2.5h resit = 5.0h; THE3 (20cr): Detlef Plump: Standard (2.5x): 0.0h/teacher @ 2.5x; First time delivery: 1 sessions/week @ 1.0h each; - 2.5x lecturer rate applied (first session: 2.5x, repeats: 1.5x); Standard (15h/assess, manual): 7.5h main + 7.5h resit = 15.0h; Standard (15h/assess, manual): 7.5h main + 7.5h resit = 15.0h; Pastoral: 21 students x 3h = 63.0h; Projects: 6 projects x UG (16h) = 96.0h</t>
        </is>
      </c>
      <c r="H16" s="4" t="inlineStr">
        <is>
          <t>PhD supervision: 1x full-time PhD student × 80h/FTE; 2x assessor (8h each) = 96.0h</t>
        </is>
      </c>
      <c r="I16" s="4" t="inlineStr">
        <is>
          <t>EC Officer (on-campus): 15% of 1642h = 246.3h; Other PLs: 5% of 1642h = 82.1h; Engagement (email/meetings): 100.0h; Personal development: 75.0h (FTE: 1.00)</t>
        </is>
      </c>
      <c r="J16" s="5" t="inlineStr">
        <is>
          <t>None</t>
        </is>
      </c>
      <c r="K16" s="5" t="inlineStr">
        <is>
          <t>None</t>
        </is>
      </c>
      <c r="L16" s="5" t="inlineStr">
        <is>
          <t>None</t>
        </is>
      </c>
    </row>
    <row r="17">
      <c r="A17" s="2" t="inlineStr">
        <is>
          <t>Dimitar Kazakov</t>
        </is>
      </c>
      <c r="B17" s="2" t="n">
        <v>1</v>
      </c>
      <c r="C17" s="3" t="n">
        <v>1510.4</v>
      </c>
      <c r="D17" s="3" t="n">
        <v>386.8</v>
      </c>
      <c r="E17" s="3" t="n">
        <v>620.2</v>
      </c>
      <c r="F17" s="3" t="n">
        <v>503.4</v>
      </c>
      <c r="G17" s="4" t="inlineStr">
        <is>
          <t>NLPG (20cr): Dimitar Kazakov: Existing lecturer + new content (5x): 0.0h base @ 2.5x + 0.0h content dev; First time delivery: 1 sessions/week @ 2.0h each; - 5x lecturer rate applied (first session: 2.5x, repeats: 1.5x); Standard (15h/assess, manual): 3.8h main + 3.8h resit = 7.5h; Standard (15h/assess, manual): 3.8h main + 3.8h resit = 7.5h; Pastoral: 25 students x 3h = 75.0h; Projects: 7 projects x UG (16h) = 112.0h</t>
        </is>
      </c>
      <c r="H17" s="4" t="inlineStr">
        <is>
          <t>PhD supervision: 5x full-time PhD student × 80h/FTE; 1x part-time PhD student × 48h/FTE; 1x assessor (8h each) = 456.0h</t>
        </is>
      </c>
      <c r="I17" s="4" t="inlineStr">
        <is>
          <t>Ethics Committee Member: 20% of 1642h = 328.4h; Engagement (email/meetings): 100.0h; Personal development: 75.0h (FTE: 1.00)</t>
        </is>
      </c>
      <c r="J17" s="5" t="inlineStr">
        <is>
          <t>None</t>
        </is>
      </c>
      <c r="K17" s="5" t="inlineStr">
        <is>
          <t>NLPG: no student numbers in CS Module Numbers.csv - marking hours estimated from a default of 100 students</t>
        </is>
      </c>
      <c r="L17" s="5" t="inlineStr">
        <is>
          <t>None</t>
        </is>
      </c>
    </row>
    <row r="18">
      <c r="A18" s="2" t="inlineStr">
        <is>
          <t>Dimitris Kolovos</t>
        </is>
      </c>
      <c r="B18" s="2" t="n">
        <v>1</v>
      </c>
      <c r="C18" s="3" t="n">
        <v>880.3400000000001</v>
      </c>
      <c r="D18" s="3" t="n">
        <v>50.2</v>
      </c>
      <c r="E18" s="3" t="n">
        <v>540.2</v>
      </c>
      <c r="F18" s="3" t="n">
        <v>289.94</v>
      </c>
      <c r="G18" s="4" t="inlineStr">
        <is>
          <t>ENG2 (20cr): Dimitris Kolovos: Standard (2.5x): 0.0h/teacher @ 2.5x; Standard (15h/assess, manual): 2.5h main + 2.5h resit = 5.0h; Standard (15h/assess, manual): 2.5h main + 2.5h resit = 5.0h; Standard (15h/assess, manual): 2.5h main + 2.5h resit = 5.0h</t>
        </is>
      </c>
      <c r="H18" s="4" t="inlineStr">
        <is>
          <t>PhD supervision: 1x full-time PhD student × 80h/FTE; 6x part-time PhD student × 48h/FTE; 1x assessor (8h each) = 376.0h</t>
        </is>
      </c>
      <c r="I18" s="4" t="inlineStr">
        <is>
          <t>Research Group Leader: 5% of 1642h = 82.1h; Research Mentor: 2% of 1642h = 32.8h; Engagement (email/meetings): 100.0h; Personal development: 75.0h (FTE: 1.00)</t>
        </is>
      </c>
      <c r="J18" s="5" t="inlineStr">
        <is>
          <t>None</t>
        </is>
      </c>
      <c r="K18" s="5" t="inlineStr">
        <is>
          <t>None</t>
        </is>
      </c>
      <c r="L18" s="5" t="inlineStr">
        <is>
          <t>None</t>
        </is>
      </c>
    </row>
    <row r="19">
      <c r="A19" s="2" t="inlineStr">
        <is>
          <t>Fang Yan</t>
        </is>
      </c>
      <c r="B19" s="2" t="n">
        <v>1</v>
      </c>
      <c r="C19" s="3" t="n">
        <v>521.5999999999999</v>
      </c>
      <c r="D19" s="3" t="n">
        <v>182.4</v>
      </c>
      <c r="E19" s="3" t="n">
        <v>164.2</v>
      </c>
      <c r="F19" s="3" t="n">
        <v>175</v>
      </c>
      <c r="G19" s="4" t="inlineStr">
        <is>
          <t>SOF2 (20cr): Fang Yan: New lecturer (5x): 0.0h base @ 2.5x + 0.0h content dev; First time delivery: 1 sessions/week @ 1.0h each; - Per-teacher rates applied: Kofi Appiah: 2.5x, Dawn H Wood: 2.5x, Fang Yan: 5x; Standard (15h/assess, manual): 5.0h main + 5.0h resit = 10.0h; Standard (15h/assess, manual): 5.0h main + 5.0h resit = 10.0h; New setter (15h/assess, manual): 5.0h main + 5.0h resit = 15.0h; Pastoral: 7 students x 3h = 21.0h</t>
        </is>
      </c>
      <c r="H19" s="4" t="inlineStr">
        <is>
          <t>No research activities recorded</t>
        </is>
      </c>
      <c r="I19" s="4" t="inlineStr">
        <is>
          <t>Engagement (email/meetings): 100.0h; Personal development: 75.0h (FTE: 1.00)</t>
        </is>
      </c>
      <c r="J19" s="5" t="inlineStr">
        <is>
          <t>None</t>
        </is>
      </c>
      <c r="K19" s="5" t="inlineStr">
        <is>
          <t>No administrative roles assigned</t>
        </is>
      </c>
      <c r="L19" s="5" t="inlineStr">
        <is>
          <t>None</t>
        </is>
      </c>
    </row>
    <row r="20">
      <c r="A20" s="2" t="inlineStr">
        <is>
          <t>Felix Ulrich-Oltean</t>
        </is>
      </c>
      <c r="B20" s="2" t="n">
        <v>1</v>
      </c>
      <c r="C20" s="3" t="n">
        <v>458.2</v>
      </c>
      <c r="D20" s="3" t="n">
        <v>71</v>
      </c>
      <c r="E20" s="3" t="n">
        <v>212.2</v>
      </c>
      <c r="F20" s="3" t="n">
        <v>175</v>
      </c>
      <c r="G20" s="4" t="inlineStr">
        <is>
          <t>SAIL (20cr): Felix Ulrich-Oltean: Standard (2.5x): 0.0h/teacher @ 2.5x; Standard (15h/assess, manual): 3.8h main + 3.8h resit = 7.5h; Standard (15h/assess, manual): 3.8h main + 3.8h resit = 7.5h</t>
        </is>
      </c>
      <c r="H20" s="4" t="inlineStr">
        <is>
          <t>PhD supervision: 1x part-time PhD student × 48h/FTE = 48.0h</t>
        </is>
      </c>
      <c r="I20" s="4" t="inlineStr">
        <is>
          <t>Engagement (email/meetings): 100.0h; Personal development: 75.0h (FTE: 1.00)</t>
        </is>
      </c>
      <c r="J20" s="5" t="inlineStr">
        <is>
          <t>None</t>
        </is>
      </c>
      <c r="K20" s="5" t="inlineStr">
        <is>
          <t>No administrative roles assigned</t>
        </is>
      </c>
      <c r="L20" s="5" t="inlineStr">
        <is>
          <t>None</t>
        </is>
      </c>
    </row>
    <row r="21">
      <c r="A21" s="2" t="inlineStr">
        <is>
          <t>Frank Soboczenski</t>
        </is>
      </c>
      <c r="B21" s="2" t="n">
        <v>1</v>
      </c>
      <c r="C21" s="3" t="n">
        <v>648.9666666666667</v>
      </c>
      <c r="D21" s="3" t="n">
        <v>91.66666666666666</v>
      </c>
      <c r="E21" s="3" t="n">
        <v>300.2</v>
      </c>
      <c r="F21" s="3" t="n">
        <v>257.1</v>
      </c>
      <c r="G21" s="4" t="inlineStr">
        <is>
          <t>LLMA (20cr): Frank Soboczenski: Existing lecturer + new content (5x): 0.0h base @ 2.5x + 0.0h content dev; New setter (15h/assess, manual): 2.5h main + 2.5h resit = 7.5h; Standard (15h/assess, manual): 2.5h main + 2.5h resit = 5.0h; New setter (15h/assess, manual): 2.5h main + 2.5h resit = 7.5h; Also teaches: Artificial Intelligence (AI) (SAINTS - not included in workload)</t>
        </is>
      </c>
      <c r="H21" s="4" t="inlineStr">
        <is>
          <t>PhD supervision: 2x part-time PhD student × 48h/FTE; 5x assessor (8h each) = 136.0h</t>
        </is>
      </c>
      <c r="I21" s="4" t="inlineStr">
        <is>
          <t>Academic Admissions Team: 5% of 1642h = 82.1h; Engagement (email/meetings): 100.0h; Personal development: 75.0h (FTE: 1.00)</t>
        </is>
      </c>
      <c r="J21" s="5" t="inlineStr">
        <is>
          <t>None</t>
        </is>
      </c>
      <c r="K21" s="5" t="inlineStr">
        <is>
          <t>LLMA: no student numbers in CS Module Numbers.csv - marking hours estimated from a default of 100 students</t>
        </is>
      </c>
      <c r="L21" s="5" t="inlineStr">
        <is>
          <t>None</t>
        </is>
      </c>
    </row>
    <row r="22">
      <c r="A22" s="2" t="inlineStr">
        <is>
          <t>Iain Bate</t>
        </is>
      </c>
      <c r="B22" s="2" t="n">
        <v>1</v>
      </c>
      <c r="C22" s="3" t="n">
        <v>2107.2</v>
      </c>
      <c r="D22" s="3" t="n">
        <v>30</v>
      </c>
      <c r="E22" s="3" t="n">
        <v>260.2</v>
      </c>
      <c r="F22" s="3" t="n">
        <v>1817</v>
      </c>
      <c r="G22" s="4" t="inlineStr">
        <is>
          <t>; Pastoral: 10 students x 3h = 30.0h</t>
        </is>
      </c>
      <c r="H22" s="4" t="inlineStr">
        <is>
          <t>PhD supervision: 1x full-time PhD student × 80h/FTE; 2x assessor (8h each) = 96.0h</t>
        </is>
      </c>
      <c r="I22" s="4" t="inlineStr">
        <is>
          <t>Head of Department: 100% of 1642h = 1642.0h; Engagement (email/meetings): 100.0h; Personal development: 75.0h (FTE: 1.00)</t>
        </is>
      </c>
      <c r="J22" s="5" t="inlineStr">
        <is>
          <t>None</t>
        </is>
      </c>
      <c r="K22" s="5" t="inlineStr">
        <is>
          <t>None</t>
        </is>
      </c>
      <c r="L22" s="5" t="inlineStr">
        <is>
          <t>None</t>
        </is>
      </c>
    </row>
    <row r="23">
      <c r="A23" s="2" t="inlineStr">
        <is>
          <t>Ian Gray</t>
        </is>
      </c>
      <c r="B23" s="2" t="n">
        <v>1</v>
      </c>
      <c r="C23" s="3" t="n">
        <v>1444</v>
      </c>
      <c r="D23" s="3" t="n">
        <v>99.8</v>
      </c>
      <c r="E23" s="3" t="n">
        <v>348.2</v>
      </c>
      <c r="F23" s="3" t="n">
        <v>996</v>
      </c>
      <c r="G23" s="4" t="inlineStr">
        <is>
          <t>EMBS (20cr): Ian Gray: Standard (2.5x): 0.0h/teacher @ 2.5x; First time delivery: 1 sessions/week @ 2.0h each; - 2.5x lecturer rate applied (first session: 2.5x, repeats: 1.5x); Standard (15h/assess, manual): 3.8h main + 3.8h resit = 7.5h; Standard (15h/assess, manual): 3.8h main + 3.8h resit = 7.5h</t>
        </is>
      </c>
      <c r="H23" s="4" t="inlineStr">
        <is>
          <t>PhD supervision: 1x full-time PhD student × 80h/FTE; 2x part-time PhD student × 48h/FTE; 1x assessor (8h each) = 184.0h</t>
        </is>
      </c>
      <c r="I23" s="4" t="inlineStr">
        <is>
          <t>Deputy Head of Department (On-campus teaching): 50% of 1642h = 821.0h; Engagement (email/meetings): 100.0h; Personal development: 75.0h (FTE: 1.00)</t>
        </is>
      </c>
      <c r="J23" s="5" t="inlineStr">
        <is>
          <t>None</t>
        </is>
      </c>
      <c r="K23" s="5" t="inlineStr">
        <is>
          <t>None</t>
        </is>
      </c>
      <c r="L23" s="5" t="inlineStr">
        <is>
          <t>None</t>
        </is>
      </c>
    </row>
    <row r="24">
      <c r="A24" s="2" t="inlineStr">
        <is>
          <t>Ibrahim Habli</t>
        </is>
      </c>
      <c r="B24" s="2" t="n">
        <v>1</v>
      </c>
      <c r="C24" s="3" t="n">
        <v>603.2</v>
      </c>
      <c r="D24" s="3" t="n">
        <v>0</v>
      </c>
      <c r="E24" s="3" t="n">
        <v>428.2</v>
      </c>
      <c r="F24" s="3" t="n">
        <v>175</v>
      </c>
      <c r="G24" s="4" t="inlineStr">
        <is>
          <t>; Also teaches: Foundations of Safe AI (Safe AI 1) (SAINTS - not included in workload)</t>
        </is>
      </c>
      <c r="H24" s="4" t="inlineStr">
        <is>
          <t>PhD supervision: 2x full-time PhD student × 80h/FTE; 2x part-time PhD student × 48h/FTE; 1x assessor (8h each) = 264.0h</t>
        </is>
      </c>
      <c r="I24" s="4" t="inlineStr">
        <is>
          <t>Engagement (email/meetings): 100.0h; Personal development: 75.0h (FTE: 1.00)</t>
        </is>
      </c>
      <c r="J24" s="5" t="inlineStr">
        <is>
          <t>None</t>
        </is>
      </c>
      <c r="K24" s="5" t="inlineStr">
        <is>
          <t>No administrative roles assigned</t>
        </is>
      </c>
      <c r="L24" s="5" t="inlineStr">
        <is>
          <t>None</t>
        </is>
      </c>
    </row>
    <row r="25">
      <c r="A25" s="2" t="inlineStr">
        <is>
          <t>Jacob Rigby</t>
        </is>
      </c>
      <c r="B25" s="2" t="n">
        <v>1</v>
      </c>
      <c r="C25" s="3" t="n">
        <v>746.6333333333334</v>
      </c>
      <c r="D25" s="3" t="n">
        <v>243.2333333333333</v>
      </c>
      <c r="E25" s="3" t="n">
        <v>164.2</v>
      </c>
      <c r="F25" s="3" t="n">
        <v>339.2</v>
      </c>
      <c r="G25" s="4" t="inlineStr">
        <is>
          <t>HCIN (20cr): Jacob Rigby: Standard (2.5x): 0.0h/teacher @ 2.5x; First time delivery: 1 sessions/week @ 2.0h each; - 2.5x lecturer rate applied (first session: 2.5x, repeats: 1.5x); Standard (15h/assess, manual): 5.0h main + 5.0h resit = 10.0h; Standard (15h/assess, manual): 5.0h main + 5.0h resit = 10.0h; Standard (15h/assess, manual): 5.0h main + 5.0h resit = 10.0h; Pastoral: 8 students x 3h = 24.0h; Projects: 5 projects x UG (16h) = 80.0h</t>
        </is>
      </c>
      <c r="H25" s="4" t="inlineStr">
        <is>
          <t>No research activities recorded</t>
        </is>
      </c>
      <c r="I25" s="4" t="inlineStr">
        <is>
          <t>Taught Project Coordinator: 10% of 1642h = 164.2h; Engagement (email/meetings): 100.0h; Personal development: 75.0h (FTE: 1.00)</t>
        </is>
      </c>
      <c r="J25" s="5" t="inlineStr">
        <is>
          <t>None</t>
        </is>
      </c>
      <c r="K25" s="5" t="inlineStr">
        <is>
          <t>None</t>
        </is>
      </c>
      <c r="L25" s="5" t="inlineStr">
        <is>
          <t>None</t>
        </is>
      </c>
    </row>
    <row r="26">
      <c r="A26" s="2" t="inlineStr">
        <is>
          <t>James Stovold</t>
        </is>
      </c>
      <c r="B26" s="2" t="n">
        <v>1</v>
      </c>
      <c r="C26" s="3" t="n">
        <v>716.8</v>
      </c>
      <c r="D26" s="3" t="n">
        <v>295.5</v>
      </c>
      <c r="E26" s="3" t="n">
        <v>164.2</v>
      </c>
      <c r="F26" s="3" t="n">
        <v>257.1</v>
      </c>
      <c r="G26" s="4" t="inlineStr">
        <is>
          <t>IMLO (20cr): James Stovold: New lecturer (5x): 0.0h base @ 2.5x + 0.0h content dev; First time delivery: 1 sessions/week @ 2.0h each; - Per-teacher rates applied: James Stovold: 5x, Claudio Guarnera: 2.5x, James Walker: 2.5x; New setter (15h/assess, manual): 5.0h main + 5.0h resit = 15.0h; Standard (15h/assess, manual): 5.0h main + 5.0h resit = 10.0h; Standard (15h/assess, manual): 5.0h main + 5.0h resit = 10.0h; Pastoral: 25 students x 3h = 75.0h</t>
        </is>
      </c>
      <c r="H26" s="4" t="inlineStr">
        <is>
          <t>No research activities recorded</t>
        </is>
      </c>
      <c r="I26" s="4" t="inlineStr">
        <is>
          <t>Academic Admissions Team: 5% of 1642h = 82.1h; Engagement (email/meetings): 100.0h; Personal development: 75.0h (FTE: 1.00)</t>
        </is>
      </c>
      <c r="J26" s="5" t="inlineStr">
        <is>
          <t>None</t>
        </is>
      </c>
      <c r="K26" s="5" t="inlineStr">
        <is>
          <t>None</t>
        </is>
      </c>
      <c r="L26" s="5" t="inlineStr">
        <is>
          <t>None</t>
        </is>
      </c>
    </row>
    <row r="27">
      <c r="A27" s="2" t="inlineStr">
        <is>
          <t>James Walker</t>
        </is>
      </c>
      <c r="B27" s="2" t="n">
        <v>1</v>
      </c>
      <c r="C27" s="3" t="n">
        <v>977.0666666666666</v>
      </c>
      <c r="D27" s="3" t="n">
        <v>293.8666666666667</v>
      </c>
      <c r="E27" s="3" t="n">
        <v>508.2</v>
      </c>
      <c r="F27" s="3" t="n">
        <v>175</v>
      </c>
      <c r="G27" s="4" t="inlineStr">
        <is>
          <t>IMLO (20cr): James Walker: Standard (2.5x): 0.0h/teacher @ 2.5x; First time delivery: 1 sessions/week @ 2.0h each; - Per-teacher rates applied: James Stovold: 5x, Claudio Guarnera: 2.5x, James Walker: 2.5x; New setter (15h/assess, manual): 5.0h main + 5.0h resit = 15.0h; Standard (15h/assess, manual): 5.0h main + 5.0h resit = 10.0h; Standard (15h/assess, manual): 5.0h main + 5.0h resit = 10.0h; Pastoral: 21 students x 3h = 63.0h; Projects: 6 projects x UG (16h) = 96.0h</t>
        </is>
      </c>
      <c r="H27" s="4" t="inlineStr">
        <is>
          <t>PhD supervision: 2x full-time PhD student × 80h/FTE; 3x part-time PhD student × 48h/FTE; 5x assessor (8h each) = 344.0h</t>
        </is>
      </c>
      <c r="I27" s="4" t="inlineStr">
        <is>
          <t>Engagement (email/meetings): 100.0h; Personal development: 75.0h (FTE: 1.00)</t>
        </is>
      </c>
      <c r="J27" s="5" t="inlineStr">
        <is>
          <t>None</t>
        </is>
      </c>
      <c r="K27" s="5" t="inlineStr">
        <is>
          <t>No administrative roles assigned</t>
        </is>
      </c>
      <c r="L27" s="5" t="inlineStr">
        <is>
          <t>None</t>
        </is>
      </c>
    </row>
    <row r="28">
      <c r="A28" s="2" t="inlineStr">
        <is>
          <t>Jen Beeston</t>
        </is>
      </c>
      <c r="B28" s="2" t="n">
        <v>1</v>
      </c>
      <c r="C28" s="3" t="n">
        <v>1275.5</v>
      </c>
      <c r="D28" s="3" t="n">
        <v>275.7</v>
      </c>
      <c r="E28" s="3" t="n">
        <v>332.2</v>
      </c>
      <c r="F28" s="3" t="n">
        <v>667.5999999999999</v>
      </c>
      <c r="G28" s="4" t="inlineStr">
        <is>
          <t>QUAL (20cr): Jen Beeston: Standard (2.5x): 0.0h/teacher @ 2.5x; Standard (15h/assess, manual): 3.8h main + 3.8h resit = 7.5h; Standard (15h/assess, manual): 3.8h main + 3.8h resit = 7.5h; TECC (20cr): Jen Beeston: Standard (2.5x): 0.0h/teacher @ 2.5x; First time delivery: 1 sessions/week @ 2.0h each; - 2.5x lecturer rate applied (first session: 2.5x, repeats: 1.5x); Standard (15h/assess, manual): 3.8h main + 3.8h resit = 7.5h; Standard (15h/assess, manual): 3.8h main + 3.8h resit = 7.5h; Pastoral: 9 students x 3h = 27.0h; Projects: 4 projects x UG (16h) = 64.0h</t>
        </is>
      </c>
      <c r="H28" s="4" t="inlineStr">
        <is>
          <t>PhD supervision: 3x part-time PhD student × 48h/FTE; 3x assessor (8h each) = 168.0h</t>
        </is>
      </c>
      <c r="I28" s="4" t="inlineStr">
        <is>
          <t>DEC Chair: 30% of 1642h = 492.6h; Engagement (email/meetings): 100.0h; Personal development: 75.0h (FTE: 1.00)</t>
        </is>
      </c>
      <c r="J28" s="5" t="inlineStr">
        <is>
          <t>None</t>
        </is>
      </c>
      <c r="K28" s="5" t="inlineStr">
        <is>
          <t>None</t>
        </is>
      </c>
      <c r="L28" s="5" t="inlineStr">
        <is>
          <t>None</t>
        </is>
      </c>
    </row>
    <row r="29">
      <c r="A29" s="2" t="inlineStr">
        <is>
          <t>Jo Iacovides</t>
        </is>
      </c>
      <c r="B29" s="2" t="n">
        <v>1</v>
      </c>
      <c r="C29" s="3" t="n">
        <v>969.1</v>
      </c>
      <c r="D29" s="3" t="n">
        <v>281.7</v>
      </c>
      <c r="E29" s="3" t="n">
        <v>348.2</v>
      </c>
      <c r="F29" s="3" t="n">
        <v>339.2</v>
      </c>
      <c r="G29" s="4" t="inlineStr">
        <is>
          <t>PLEI (20cr): Jo Iacovides: Standard (2.5x): 0.0h/teacher @ 2.5x; Standard (15h/assess, manual): 7.5h main + 7.5h resit = 15.0h; Standard (15h/assess, manual): 7.5h main + 7.5h resit = 15.0h; QUAL (20cr): Jo Iacovides: Standard (2.5x): 0.0h/teacher @ 2.5x; Standard (15h/assess, manual): 3.8h main + 3.8h resit = 7.5h; Standard (15h/assess, manual): 3.8h main + 3.8h resit = 7.5h; Pastoral: 12 students x 3h = 36.0h; Projects: 6 projects x UG (16h) = 96.0h</t>
        </is>
      </c>
      <c r="H29" s="4" t="inlineStr">
        <is>
          <t>PhD supervision: 3x part-time PhD student × 48h/FTE; 5x assessor (8h each) = 184.0h</t>
        </is>
      </c>
      <c r="I29" s="4" t="inlineStr">
        <is>
          <t>Progression Panel: 10% of 1642h = 164.2h; Engagement (email/meetings): 100.0h; Personal development: 75.0h (FTE: 1.00)</t>
        </is>
      </c>
      <c r="J29" s="5" t="inlineStr">
        <is>
          <t>None</t>
        </is>
      </c>
      <c r="K29" s="5" t="inlineStr">
        <is>
          <t>None</t>
        </is>
      </c>
      <c r="L29" s="5" t="inlineStr">
        <is>
          <t>None</t>
        </is>
      </c>
    </row>
    <row r="30">
      <c r="A30" s="2" t="inlineStr">
        <is>
          <t>Joe Cutting</t>
        </is>
      </c>
      <c r="B30" s="2" t="n">
        <v>1</v>
      </c>
      <c r="C30" s="3" t="n">
        <v>750.3</v>
      </c>
      <c r="D30" s="3" t="n">
        <v>347.1</v>
      </c>
      <c r="E30" s="3" t="n">
        <v>228.2</v>
      </c>
      <c r="F30" s="3" t="n">
        <v>175</v>
      </c>
      <c r="G30" s="4" t="inlineStr">
        <is>
          <t>IDEV (20cr): Joe Cutting: Standard (2.5x): 0.0h/teacher @ 2.5x; Standard (15h/assess, manual): 7.5h main + 7.5h resit = 15.0h; Standard (15h/assess, manual): 7.5h main + 7.5h resit = 15.0h; PRAD (20cr): Joe Cutting: Standard (2.5x): 0.0h/teacher @ 2.5x; First time delivery: 1 sessions/week @ 2.0h each; - 2.5x lecturer rate applied (first session: 2.5x, repeats: 1.5x); Standard (15h/assess, manual): 3.8h main + 3.8h resit = 7.5h; Standard (15h/assess, manual): 3.8h main + 3.8h resit = 7.5h; Pastoral: 16 students x 3h = 48.0h; Projects: 7 projects x UG (16h) = 112.0h</t>
        </is>
      </c>
      <c r="H30" s="4" t="inlineStr">
        <is>
          <t>PhD supervision: 1x part-time PhD student × 48h/FTE; 2x assessor (8h each) = 64.0h</t>
        </is>
      </c>
      <c r="I30" s="4" t="inlineStr">
        <is>
          <t>ECR representative: 0% of 1642h = 0.0h; Engagement (email/meetings): 100.0h; Personal development: 75.0h (FTE: 1.00)</t>
        </is>
      </c>
      <c r="J30" s="5" t="inlineStr">
        <is>
          <t>None</t>
        </is>
      </c>
      <c r="K30" s="5" t="inlineStr">
        <is>
          <t>None</t>
        </is>
      </c>
      <c r="L30" s="5" t="inlineStr">
        <is>
          <t>None</t>
        </is>
      </c>
    </row>
    <row r="31">
      <c r="A31" s="2" t="inlineStr">
        <is>
          <t>John McDermid</t>
        </is>
      </c>
      <c r="B31" s="2" t="n">
        <v>1</v>
      </c>
      <c r="C31" s="3" t="n">
        <v>565.3</v>
      </c>
      <c r="D31" s="3" t="n">
        <v>0</v>
      </c>
      <c r="E31" s="3" t="n">
        <v>308.2</v>
      </c>
      <c r="F31" s="3" t="n">
        <v>257.1</v>
      </c>
      <c r="G31" s="4" t="inlineStr"/>
      <c r="H31" s="4" t="inlineStr">
        <is>
          <t>PhD supervision: 3x part-time PhD student × 48h/FTE = 144.0h</t>
        </is>
      </c>
      <c r="I31" s="4" t="inlineStr">
        <is>
          <t>Research Group Leader: 5% of 1642h = 82.1h; Engagement (email/meetings): 100.0h; Personal development: 75.0h (FTE: 1.00)</t>
        </is>
      </c>
      <c r="J31" s="5" t="inlineStr">
        <is>
          <t>None</t>
        </is>
      </c>
      <c r="K31" s="5" t="inlineStr">
        <is>
          <t>None</t>
        </is>
      </c>
      <c r="L31" s="5" t="inlineStr">
        <is>
          <t>None</t>
        </is>
      </c>
    </row>
    <row r="32">
      <c r="A32" s="2" t="inlineStr">
        <is>
          <t>Katrina Attwood</t>
        </is>
      </c>
      <c r="B32" s="2" t="n">
        <v>1</v>
      </c>
      <c r="C32" s="3" t="n">
        <v>1122.233333333333</v>
      </c>
      <c r="D32" s="3" t="n">
        <v>406.6333333333333</v>
      </c>
      <c r="E32" s="3" t="n">
        <v>212.2</v>
      </c>
      <c r="F32" s="3" t="n">
        <v>503.4</v>
      </c>
      <c r="G32" s="4" t="inlineStr">
        <is>
          <t>HCIN (20cr): Katrina Attwood: Standard (2.5x): 0.0h/teacher @ 2.5x; First time delivery: 1 sessions/week @ 2.0h each; - 2.5x lecturer rate applied (first session: 2.5x, repeats: 1.5x); Standard (15h/assess, manual): 5.0h main + 5.0h resit = 10.0h; Standard (15h/assess, manual): 5.0h main + 5.0h resit = 10.0h; Standard (15h/assess, manual): 5.0h main + 5.0h resit = 10.0h; TECC (20cr): Katrina Attwood: Standard (2.5x): 0.0h/teacher @ 2.5x; First time delivery: 1 sessions/week @ 2.0h each; - 2.5x lecturer rate applied (first session: 2.5x, repeats: 1.5x); Standard (15h/assess, manual): 3.8h main + 3.8h resit = 7.5h; Standard (15h/assess, manual): 3.8h main + 3.8h resit = 7.5h; Pastoral: 22 students x 3h = 66.0h; Projects: 6 projects x UG (16h) = 96.0h</t>
        </is>
      </c>
      <c r="H32" s="4" t="inlineStr">
        <is>
          <t>PhD supervision: 1x part-time PhD student × 48h/FTE = 48.0h</t>
        </is>
      </c>
      <c r="I32" s="4" t="inlineStr">
        <is>
          <t>Director of Students: 20% of 1642h = 328.4h; Engagement (email/meetings): 100.0h; Personal development: 75.0h (FTE: 1.00)</t>
        </is>
      </c>
      <c r="J32" s="5" t="inlineStr">
        <is>
          <t>None</t>
        </is>
      </c>
      <c r="K32" s="5" t="inlineStr">
        <is>
          <t>None</t>
        </is>
      </c>
      <c r="L32" s="5" t="inlineStr">
        <is>
          <t>None</t>
        </is>
      </c>
    </row>
    <row r="33">
      <c r="A33" s="2" t="inlineStr">
        <is>
          <t>Kofi Appiah</t>
        </is>
      </c>
      <c r="B33" s="2" t="n">
        <v>1</v>
      </c>
      <c r="C33" s="3" t="n">
        <v>1205.3</v>
      </c>
      <c r="D33" s="3" t="n">
        <v>427.8</v>
      </c>
      <c r="E33" s="3" t="n">
        <v>356.2</v>
      </c>
      <c r="F33" s="3" t="n">
        <v>421.3</v>
      </c>
      <c r="G33" s="4" t="inlineStr">
        <is>
          <t>SOF1 (20cr): Kofi Appiah: Standard (2.5x): 0.0h/teacher @ 2.5x; First time delivery: 1 sessions/week @ 2.0h each; - 2.5x lecturer rate applied (first session: 2.5x, repeats: 1.5x); Standard (15h/assess, manual): 2.5h main + 2.5h resit = 5.0h; Standard (15h/assess, manual): 2.5h main + 2.5h resit = 5.0h; Standard (15h/assess, manual): 2.5h main + 2.5h resit = 5.0h; SOF2 (20cr): Kofi Appiah: Standard (2.5x): 0.0h/teacher @ 2.5x; First time delivery: 1 sessions/week @ 1.0h each; - Per-teacher rates applied: Kofi Appiah: 2.5x, Dawn H Wood: 2.5x, Fang Yan: 5x; Standard (15h/assess, manual): 5.0h main + 5.0h resit = 10.0h; Standard (15h/assess, manual): 5.0h main + 5.0h resit = 10.0h; New setter (15h/assess, manual): 5.0h main + 5.0h resit = 15.0h; Pastoral: 18 students x 3h = 54.0h; Projects: 7 projects x UG (16h) = 112.0h</t>
        </is>
      </c>
      <c r="H33" s="4" t="inlineStr">
        <is>
          <t>PhD supervision: 1x full-time PhD student × 80h/FTE; 2x part-time PhD student × 48h/FTE; 2x assessor (8h each) = 192.0h</t>
        </is>
      </c>
      <c r="I33" s="4" t="inlineStr">
        <is>
          <t>Deputy Director of Admissions (UG Admissions): 15% of 1642h = 246.3h; Engagement (email/meetings): 100.0h; Personal development: 75.0h (FTE: 1.00)</t>
        </is>
      </c>
      <c r="J33" s="5" t="inlineStr">
        <is>
          <t>None</t>
        </is>
      </c>
      <c r="K33" s="5" t="inlineStr">
        <is>
          <t>None</t>
        </is>
      </c>
      <c r="L33" s="5" t="inlineStr">
        <is>
          <t>None</t>
        </is>
      </c>
    </row>
    <row r="34">
      <c r="A34" s="2" t="inlineStr">
        <is>
          <t>Kostas Barmpis</t>
        </is>
      </c>
      <c r="B34" s="2" t="n">
        <v>1</v>
      </c>
      <c r="C34" s="3" t="n">
        <v>826.3000000000001</v>
      </c>
      <c r="D34" s="3" t="n">
        <v>349</v>
      </c>
      <c r="E34" s="3" t="n">
        <v>220.2</v>
      </c>
      <c r="F34" s="3" t="n">
        <v>257.1</v>
      </c>
      <c r="G34" s="4" t="inlineStr">
        <is>
          <t>ENG1 (20cr): Kostas Barmpis: Standard (2.5x): 0.0h/teacher @ 2.5x; First time delivery: 1 sessions/week @ 2.0h each; - 2.5x lecturer rate applied (first session: 2.5x, repeats: 1.5x); Standard (15h/assess, manual): 7.5h main + 7.5h resit = 15.0h; Standard (15h/assess, manual): 7.5h main + 7.5h resit = 15.0h; ENG2 (20cr): Kostas Barmpis: Standard (2.5x): 0.0h/teacher @ 2.5x; Standard (15h/assess, manual): 2.5h main + 2.5h resit = 5.0h; Standard (15h/assess, manual): 2.5h main + 2.5h resit = 5.0h; Standard (15h/assess, manual): 2.5h main + 2.5h resit = 5.0h; Pastoral: 22 students x 3h = 66.0h; Projects: 2 projects x UG (16h) = 32.0h</t>
        </is>
      </c>
      <c r="H34" s="4" t="inlineStr">
        <is>
          <t>PhD supervision: 1x part-time PhD student × 48h/FTE; 1x assessor (8h each) = 56.0h</t>
        </is>
      </c>
      <c r="I34" s="4" t="inlineStr">
        <is>
          <t>PGR Training Officer: 5% of 1642h = 82.1h; Engagement (email/meetings): 100.0h; Personal development: 75.0h (FTE: 1.00)</t>
        </is>
      </c>
      <c r="J34" s="5" t="inlineStr">
        <is>
          <t>None</t>
        </is>
      </c>
      <c r="K34" s="5" t="inlineStr">
        <is>
          <t>None</t>
        </is>
      </c>
      <c r="L34" s="5" t="inlineStr">
        <is>
          <t>None</t>
        </is>
      </c>
    </row>
    <row r="35">
      <c r="A35" s="2" t="inlineStr">
        <is>
          <t>Mark Nicholson</t>
        </is>
      </c>
      <c r="B35" s="2" t="n">
        <v>0.8</v>
      </c>
      <c r="C35" s="3" t="n">
        <v>662.6039999999999</v>
      </c>
      <c r="D35" s="3" t="n">
        <v>242.7</v>
      </c>
      <c r="E35" s="3" t="n">
        <v>227.36</v>
      </c>
      <c r="F35" s="3" t="n">
        <v>192.544</v>
      </c>
      <c r="G35" s="4" t="inlineStr">
        <is>
          <t>RASS (10cr): Mark Nicholson: Standard (2.5x): 0.0h/teacher @ 2.5x; Standard (15h/assess, manual): 3.8h main + 3.8h resit = 7.5h; Standard (15h/assess, manual): 3.8h main + 3.8h resit = 7.5h; SSAS (10cr): Mark Nicholson: Standard (2.5x): 0.0h/teacher @ 2.5x; Standard (15h/assess, manual): 7.5h main + 7.5h resit = 15.0h; Standard (15h/assess, manual): 7.5h main + 7.5h resit = 15.0h; Pastoral: 5 students x 3h = 15.0h; Projects: 5 projects x MSc (24h) = 120.0h</t>
        </is>
      </c>
      <c r="H35" s="4" t="inlineStr">
        <is>
          <t>PhD supervision: 2x part-time PhD student × 48h/FTE = 96.0h</t>
        </is>
      </c>
      <c r="I35" s="4" t="inlineStr">
        <is>
          <t>StAMP committee: 4% of 1314h = 52.5h; Engagement (email/meetings): 80.0h; Personal development: 60.0h (FTE: 0.80)</t>
        </is>
      </c>
      <c r="J35" s="5" t="inlineStr">
        <is>
          <t>None</t>
        </is>
      </c>
      <c r="K35" s="5" t="inlineStr">
        <is>
          <t>None</t>
        </is>
      </c>
      <c r="L35" s="5" t="inlineStr">
        <is>
          <t>None</t>
        </is>
      </c>
    </row>
    <row r="36">
      <c r="A36" s="2" t="inlineStr">
        <is>
          <t>Mark Sujan</t>
        </is>
      </c>
      <c r="B36" s="2" t="n">
        <v>0.8</v>
      </c>
      <c r="C36" s="3" t="n">
        <v>318.76</v>
      </c>
      <c r="D36" s="3" t="n">
        <v>47.4</v>
      </c>
      <c r="E36" s="3" t="n">
        <v>131.36</v>
      </c>
      <c r="F36" s="3" t="n">
        <v>140</v>
      </c>
      <c r="G36" s="4" t="inlineStr">
        <is>
          <t>HUFS (10cr): Mark Sujan: Standard (2.5x): 0.0h/teacher @ 2.5x; Standard (15h/assess, manual): 3.8h main + 3.8h resit = 7.5h; Standard (15h/assess, manual): 3.8h main + 3.8h resit = 7.5h</t>
        </is>
      </c>
      <c r="H36" s="4" t="inlineStr">
        <is>
          <t>No research activities recorded</t>
        </is>
      </c>
      <c r="I36" s="4" t="inlineStr">
        <is>
          <t>Engagement (email/meetings): 80.0h; Personal development: 60.0h (FTE: 0.80)</t>
        </is>
      </c>
      <c r="J36" s="5" t="inlineStr">
        <is>
          <t>None</t>
        </is>
      </c>
      <c r="K36" s="5" t="inlineStr">
        <is>
          <t>No administrative roles assigned</t>
        </is>
      </c>
      <c r="L36" s="5" t="inlineStr">
        <is>
          <t>None</t>
        </is>
      </c>
    </row>
    <row r="37">
      <c r="A37" s="2" t="inlineStr">
        <is>
          <t>Mike Freeman</t>
        </is>
      </c>
      <c r="B37" s="2" t="n">
        <v>1</v>
      </c>
      <c r="C37" s="3" t="n">
        <v>757.9333333333334</v>
      </c>
      <c r="D37" s="3" t="n">
        <v>336.6333333333333</v>
      </c>
      <c r="E37" s="3" t="n">
        <v>164.2</v>
      </c>
      <c r="F37" s="3" t="n">
        <v>257.1</v>
      </c>
      <c r="G37" s="4" t="inlineStr">
        <is>
          <t>SYS1 (20cr): Mike Freeman: Standard (2.5x): 0.0h/teacher @ 2.5x; First time delivery: 1 sessions/week @ 2.0h each; - 2.5x lecturer rate applied (first session: 2.5x, repeats: 1.5x); Standard (15h/assess, manual): 2.5h main + 2.5h resit = 5.0h; Standard (15h/assess, manual): 2.5h main + 2.5h resit = 5.0h; Standard (15h/assess, manual): 2.5h main + 2.5h resit = 5.0h; SYS2 (20cr): Mike Freeman: Standard (2.5x): 0.0h/teacher @ 2.5x; First time delivery: 1 sessions/week @ 2.0h each; - Per-teacher rates applied: Andrew Pomfret: 2.5x, Mike Freeman: 2.5x, Christopher Crispin-Bailey: 5x; Standard (15h/assess, manual): 2.5h main + 2.5h resit = 5.0h; Standard (15h/assess, manual): 2.5h main + 2.5h resit = 5.0h; New setter (15h/assess, manual): 2.5h main + 2.5h resit = 7.5h; Pastoral: 18 students x 3h = 54.0h</t>
        </is>
      </c>
      <c r="H37" s="4" t="inlineStr">
        <is>
          <t>No research activities recorded</t>
        </is>
      </c>
      <c r="I37" s="4" t="inlineStr">
        <is>
          <t>Academic Admissions Team: 5% of 1642h = 82.1h; Engagement (email/meetings): 100.0h; Personal development: 75.0h (FTE: 1.00)</t>
        </is>
      </c>
      <c r="J37" s="5" t="inlineStr">
        <is>
          <t>None</t>
        </is>
      </c>
      <c r="K37" s="5" t="inlineStr">
        <is>
          <t>None</t>
        </is>
      </c>
      <c r="L37" s="5" t="inlineStr">
        <is>
          <t>None</t>
        </is>
      </c>
    </row>
    <row r="38">
      <c r="A38" s="2" t="inlineStr">
        <is>
          <t>Mike O'Dea</t>
        </is>
      </c>
      <c r="B38" s="2" t="n">
        <v>1</v>
      </c>
      <c r="C38" s="3" t="n">
        <v>928.6</v>
      </c>
      <c r="D38" s="3" t="n">
        <v>507.3</v>
      </c>
      <c r="E38" s="3" t="n">
        <v>164.2</v>
      </c>
      <c r="F38" s="3" t="n">
        <v>257.1</v>
      </c>
      <c r="G38" s="4" t="inlineStr">
        <is>
          <t>CBDA (20cr): Mike O'Dea: Standard (2.5x): 0.0h/teacher @ 2.5x; First time delivery: 1 sessions/week @ 2.0h each; - Per-teacher rates applied: Mike O'Dea: 2.5x, Roberto Metere: 5x; Standard (15h/assess, manual): 3.8h main + 3.8h resit = 7.5h; New setter (15h/assess, manual): 3.8h main + 3.8h resit = 11.2h; GODS (20cr): Mike O'Dea: Standard (2.5x): 0.0h/teacher @ 2.5x; First time delivery: 1 sessions/week @ 2.0h each; - 2.5x lecturer rate applied (first session: 2.5x, repeats: 1.5x); Standard (15h/assess, manual): 3.8h main + 3.8h resit = 7.5h; Standard (15h/assess, manual): 3.8h main + 3.8h resit = 7.5h; ROCS (20cr): Mike O'Dea: New lecturer (5x): 0.0h base @ 2.5x + 0.0h content dev; First time delivery: 1 sessions/week @ 2.0h each; - Per-teacher rates applied: William Smith: 2.5x, Mike O'Dea: 5x, Colin Paterson: 5x; Standard (15h/assess, manual): 5.0h main + 5.0h resit = 10.0h; New setter (15h/assess, manual): 5.0h main + 5.0h resit = 15.0h; New setter (15h/assess, manual): 5.0h main + 5.0h resit = 15.0h; Projects: 7 projects x UG (16h) = 112.0h</t>
        </is>
      </c>
      <c r="H38" s="4" t="inlineStr">
        <is>
          <t>No research activities recorded</t>
        </is>
      </c>
      <c r="I38" s="4" t="inlineStr">
        <is>
          <t>Other PLs: 5% of 1642h = 82.1h; Engagement (email/meetings): 100.0h; Personal development: 75.0h (FTE: 1.00)</t>
        </is>
      </c>
      <c r="J38" s="5" t="inlineStr">
        <is>
          <t>None</t>
        </is>
      </c>
      <c r="K38" s="5" t="inlineStr">
        <is>
          <t>None</t>
        </is>
      </c>
      <c r="L38" s="5" t="inlineStr">
        <is>
          <t>None</t>
        </is>
      </c>
    </row>
    <row r="39">
      <c r="A39" s="2" t="inlineStr">
        <is>
          <t>Nick Pears</t>
        </is>
      </c>
      <c r="B39" s="2" t="n">
        <v>1</v>
      </c>
      <c r="C39" s="3" t="n">
        <v>1468.933333333333</v>
      </c>
      <c r="D39" s="3" t="n">
        <v>208.9333333333333</v>
      </c>
      <c r="E39" s="3" t="n">
        <v>428.2</v>
      </c>
      <c r="F39" s="3" t="n">
        <v>831.8000000000001</v>
      </c>
      <c r="G39" s="4" t="inlineStr">
        <is>
          <t>THE1 (20cr): Nick Pears: Standard (2.5x): 0.0h/teacher @ 2.5x; First time delivery: 1 sessions/week @ 1.0h each; - Per-teacher rates applied: Simon Foster: 5x, Nick Pears: 2.5x, Siamak Shahandashti: 2.5x; New setter (15h/assess, manual): 2.5h main + 2.5h resit = 7.5h; Standard (15h/assess, manual): 2.5h main + 2.5h resit = 5.0h; Standard (15h/assess, manual): 2.5h main + 2.5h resit = 5.0h; Pastoral: 17 students x 3h = 51.0h; Projects: 4 projects x UG (16h) = 64.0h</t>
        </is>
      </c>
      <c r="H39" s="4" t="inlineStr">
        <is>
          <t>PhD supervision: 1x full-time PhD student × 80h/FTE; 3x part-time PhD student × 48h/FTE; 5x assessor (8h each) = 264.0h</t>
        </is>
      </c>
      <c r="I39" s="4" t="inlineStr">
        <is>
          <t>Deputy Head (Research): 40% of 1642h = 656.8h; Engagement (email/meetings): 100.0h; Personal development: 75.0h (FTE: 1.00)</t>
        </is>
      </c>
      <c r="J39" s="5" t="inlineStr">
        <is>
          <t>None</t>
        </is>
      </c>
      <c r="K39" s="5" t="inlineStr">
        <is>
          <t>None</t>
        </is>
      </c>
      <c r="L39" s="5" t="inlineStr">
        <is>
          <t>None</t>
        </is>
      </c>
    </row>
    <row r="40">
      <c r="A40" s="2" t="inlineStr">
        <is>
          <t>Oleg Lisagor</t>
        </is>
      </c>
      <c r="B40" s="2" t="n">
        <v>1</v>
      </c>
      <c r="C40" s="3" t="n">
        <v>725.3</v>
      </c>
      <c r="D40" s="3" t="n">
        <v>304</v>
      </c>
      <c r="E40" s="3" t="n">
        <v>164.2</v>
      </c>
      <c r="F40" s="3" t="n">
        <v>257.1</v>
      </c>
      <c r="G40" s="4" t="inlineStr">
        <is>
          <t>FSSE (10cr): Oleg Lisagor: Standard (2.5x): 0.0h/teacher @ 2.5x; Standard (15h/assess, manual): 7.5h main + 7.5h resit = 15.0h; Standard (15h/assess, manual): 7.5h main + 7.5h resit = 15.0h; HRAS (10cr): Oleg Lisagor: Standard (2.5x): 0.0h/teacher @ 2.5x; Standard (15h/assess, manual): 7.5h main + 7.5h resit = 15.0h; Standard (15h/assess, manual): 7.5h main + 7.5h resit = 15.0h; SSAS (10cr): Oleg Lisagor: Standard (2.5x): 0.0h/teacher @ 2.5x; Standard (15h/assess, manual): 7.5h main + 7.5h resit = 15.0h; Standard (15h/assess, manual): 7.5h main + 7.5h resit = 15.0h; Pastoral: 4 students x 3h = 12.0h; Projects: 5 projects x MSc (24h) = 120.0h</t>
        </is>
      </c>
      <c r="H40" s="4" t="inlineStr">
        <is>
          <t>No research activities recorded</t>
        </is>
      </c>
      <c r="I40" s="4" t="inlineStr">
        <is>
          <t>Other PLs: 5% of 1642h = 82.1h; Engagement (email/meetings): 100.0h; Personal development: 75.0h (FTE: 1.00)</t>
        </is>
      </c>
      <c r="J40" s="5" t="inlineStr">
        <is>
          <t>None</t>
        </is>
      </c>
      <c r="K40" s="5" t="inlineStr">
        <is>
          <t>None</t>
        </is>
      </c>
      <c r="L40" s="5" t="inlineStr">
        <is>
          <t>None</t>
        </is>
      </c>
    </row>
    <row r="41">
      <c r="A41" s="2" t="inlineStr">
        <is>
          <t>Paul Cairns</t>
        </is>
      </c>
      <c r="B41" s="2" t="n">
        <v>1</v>
      </c>
      <c r="C41" s="3" t="n">
        <v>1451.133333333333</v>
      </c>
      <c r="D41" s="3" t="n">
        <v>345.6333333333333</v>
      </c>
      <c r="E41" s="3" t="n">
        <v>684.2</v>
      </c>
      <c r="F41" s="3" t="n">
        <v>421.3</v>
      </c>
      <c r="G41" s="4" t="inlineStr">
        <is>
          <t>GODS (20cr): Paul Cairns: Standard (2.5x): 0.0h/teacher @ 2.5x; First time delivery: 1 sessions/week @ 2.0h each; - 2.5x lecturer rate applied (first session: 2.5x, repeats: 1.5x); Standard (15h/assess, manual): 3.8h main + 3.8h resit = 7.5h; Standard (15h/assess, manual): 3.8h main + 3.8h resit = 7.5h; HCIN (20cr): Paul Cairns: Standard (2.5x): 0.0h/teacher @ 2.5x; First time delivery: 1 sessions/week @ 2.0h each; - 2.5x lecturer rate applied (first session: 2.5x, repeats: 1.5x); Standard (15h/assess, manual): 5.0h main + 5.0h resit = 10.0h; Standard (15h/assess, manual): 5.0h main + 5.0h resit = 10.0h; Standard (15h/assess, manual): 5.0h main + 5.0h resit = 10.0h; Pastoral: 5 students x 3h = 15.0h; Projects: 6 projects x UG (16h) = 96.0h</t>
        </is>
      </c>
      <c r="H41" s="4" t="inlineStr">
        <is>
          <t>PhD supervision: 4x full-time PhD student × 80h/FTE; 3x part-time PhD student × 48h/FTE; 7x assessor (8h each) = 520.0h</t>
        </is>
      </c>
      <c r="I41" s="4" t="inlineStr">
        <is>
          <t>Other PLs: 5% of 1642h = 82.1h; REF Lead: 5% of 1642h = 82.1h; Research Group Leader: 5% of 1642h = 82.1h; Engagement (email/meetings): 100.0h; Personal development: 75.0h (FTE: 1.00)</t>
        </is>
      </c>
      <c r="J41" s="5" t="inlineStr">
        <is>
          <t>None</t>
        </is>
      </c>
      <c r="K41" s="5" t="inlineStr">
        <is>
          <t>None</t>
        </is>
      </c>
      <c r="L41" s="5" t="inlineStr">
        <is>
          <t>None</t>
        </is>
      </c>
    </row>
    <row r="42">
      <c r="A42" s="2" t="inlineStr">
        <is>
          <t>Pedro Ribeiro</t>
        </is>
      </c>
      <c r="B42" s="2" t="n">
        <v>1</v>
      </c>
      <c r="C42" s="3" t="n">
        <v>967.9000000000001</v>
      </c>
      <c r="D42" s="3" t="n">
        <v>312.5</v>
      </c>
      <c r="E42" s="3" t="n">
        <v>316.2</v>
      </c>
      <c r="F42" s="3" t="n">
        <v>339.2</v>
      </c>
      <c r="G42" s="4" t="inlineStr">
        <is>
          <t>AURO (20cr): Pedro Ribeiro: Standard (2.5x): 0.0h/teacher @ 2.5x; Standard (15h/assess, manual): 2.5h main + 2.5h resit = 5.0h; Standard (15h/assess, manual): 2.5h main + 2.5h resit = 5.0h; New setter (15h/assess, manual): 2.5h main + 2.5h resit = 7.5h; SYS1 (20cr): Pedro Ribeiro: Standard (2.5x): 0.0h/teacher @ 2.5x; First time delivery: 1 sessions/week @ 2.0h each; - 2.5x lecturer rate applied (first session: 2.5x, repeats: 1.5x); Standard (15h/assess, manual): 2.5h main + 2.5h resit = 5.0h; Standard (15h/assess, manual): 2.5h main + 2.5h resit = 5.0h; Standard (15h/assess, manual): 2.5h main + 2.5h resit = 5.0h; Pastoral: 17 students x 3h = 51.0h; Projects: 4 projects x UG (16h) = 64.0h</t>
        </is>
      </c>
      <c r="H42" s="4" t="inlineStr">
        <is>
          <t>PhD supervision: 3x part-time PhD student × 48h/FTE; 1x assessor (8h each) = 152.0h</t>
        </is>
      </c>
      <c r="I42" s="4" t="inlineStr">
        <is>
          <t>Progression Panel: 10% of 1642h = 164.2h; Engagement (email/meetings): 100.0h; Personal development: 75.0h (FTE: 1.00)</t>
        </is>
      </c>
      <c r="J42" s="5" t="inlineStr">
        <is>
          <t>None</t>
        </is>
      </c>
      <c r="K42" s="5" t="inlineStr">
        <is>
          <t>None</t>
        </is>
      </c>
      <c r="L42" s="5" t="inlineStr">
        <is>
          <t>None</t>
        </is>
      </c>
    </row>
    <row r="43">
      <c r="A43" s="2" t="inlineStr">
        <is>
          <t>Pengcheng Liu</t>
        </is>
      </c>
      <c r="B43" s="2" t="n">
        <v>1</v>
      </c>
      <c r="C43" s="3" t="n">
        <v>1286.84</v>
      </c>
      <c r="D43" s="3" t="n">
        <v>312.3</v>
      </c>
      <c r="E43" s="3" t="n">
        <v>356.2</v>
      </c>
      <c r="F43" s="3" t="n">
        <v>618.34</v>
      </c>
      <c r="G43" s="4" t="inlineStr">
        <is>
          <t>SYS3 (20cr): Pengcheng Liu: Standard (2.5x): 0.0h/teacher @ 2.5x; First time delivery: 1 sessions/week @ 2.0h each; - 2.5x lecturer rate applied (first session: 2.5x, repeats: 1.5x); Standard (15h/assess, manual): 3.8h main + 3.8h resit = 7.5h; Standard (15h/assess, manual): 3.8h main + 3.8h resit = 7.5h; Pastoral: 10 students x 3h = 30.0h; Projects: 4 projects x UG (16h) = 64.0h</t>
        </is>
      </c>
      <c r="H43" s="4" t="inlineStr">
        <is>
          <t>PhD supervision: 1x full-time PhD student × 80h/FTE; 2x part-time PhD student × 48h/FTE; 2x assessor (8h each) = 192.0h</t>
        </is>
      </c>
      <c r="I43" s="4" t="inlineStr">
        <is>
          <t>Graduate Chair: 20% of 1642h = 328.4h; Research Group Leader: 5% of 1642h = 82.1h; Research Mentor: 2% of 1642h = 32.8h; Engagement (email/meetings): 100.0h; Personal development: 75.0h (FTE: 1.00)</t>
        </is>
      </c>
      <c r="J43" s="5" t="inlineStr">
        <is>
          <t>None</t>
        </is>
      </c>
      <c r="K43" s="5" t="inlineStr">
        <is>
          <t>None</t>
        </is>
      </c>
      <c r="L43" s="5" t="inlineStr">
        <is>
          <t>None</t>
        </is>
      </c>
    </row>
    <row r="44">
      <c r="A44" s="2" t="inlineStr">
        <is>
          <t>Peter Nightingale</t>
        </is>
      </c>
      <c r="B44" s="2" t="n">
        <v>1</v>
      </c>
      <c r="C44" s="3" t="n">
        <v>1069.866666666667</v>
      </c>
      <c r="D44" s="3" t="n">
        <v>430.4666666666666</v>
      </c>
      <c r="E44" s="3" t="n">
        <v>300.2</v>
      </c>
      <c r="F44" s="3" t="n">
        <v>339.2</v>
      </c>
      <c r="G44" s="4" t="inlineStr">
        <is>
          <t>ARIA (20cr): Peter Nightingale: Existing lecturer + new content (5x): 0.0h base @ 2.5x + 0.0h content dev; Standard (15h/assess, manual): 2.5h main + 2.5h resit = 5.0h; Standard (15h/assess, manual): 2.5h main + 2.5h resit = 5.0h; Standard (15h/assess, manual): 2.5h main + 2.5h resit = 5.0h; FOAM (20cr): Peter Nightingale: Existing lecturer + new content (5x): 0.0h base @ 2.5x + 0.0h content dev; Standard (15h/assess, manual): 3.8h main + 3.8h resit = 7.5h; Standard (15h/assess, manual): 3.8h main + 3.8h resit = 7.5h; SAIL (20cr): Peter Nightingale: Standard (2.5x): 0.0h/teacher @ 2.5x; Standard (15h/assess, manual): 3.8h main + 3.8h resit = 7.5h; Standard (15h/assess, manual): 3.8h main + 3.8h resit = 7.5h; Pastoral: 18 students x 3h = 54.0h; Projects: 5 projects x UG (16h) = 80.0h</t>
        </is>
      </c>
      <c r="H44" s="4" t="inlineStr">
        <is>
          <t>PhD supervision: 2x part-time PhD student × 48h/FTE; 5x assessor (8h each) = 136.0h</t>
        </is>
      </c>
      <c r="I44" s="4" t="inlineStr">
        <is>
          <t>UG PL: 10% of 1642h = 164.2h; Engagement (email/meetings): 100.0h; Personal development: 75.0h (FTE: 1.00)</t>
        </is>
      </c>
      <c r="J44" s="5" t="inlineStr">
        <is>
          <t>None</t>
        </is>
      </c>
      <c r="K44" s="5" t="inlineStr">
        <is>
          <t>ARIA: no student numbers in CS Module Numbers.csv - marking hours estimated from a default of 100 students</t>
        </is>
      </c>
      <c r="L44" s="5" t="inlineStr">
        <is>
          <t>None</t>
        </is>
      </c>
    </row>
    <row r="45">
      <c r="A45" s="2" t="inlineStr">
        <is>
          <t>Poonam Yadav</t>
        </is>
      </c>
      <c r="B45" s="2" t="n">
        <v>1</v>
      </c>
      <c r="C45" s="3" t="n">
        <v>1386.333333333333</v>
      </c>
      <c r="D45" s="3" t="n">
        <v>426.9333333333333</v>
      </c>
      <c r="E45" s="3" t="n">
        <v>620.2</v>
      </c>
      <c r="F45" s="3" t="n">
        <v>339.2</v>
      </c>
      <c r="G45" s="4" t="inlineStr">
        <is>
          <t>SOF1 (20cr): Poonam Yadav: Standard (2.5x): 0.0h/teacher @ 2.5x; First time delivery: 1 sessions/week @ 2.0h each; - 2.5x lecturer rate applied (first session: 2.5x, repeats: 1.5x); Standard (15h/assess, manual): 2.5h main + 2.5h resit = 5.0h; Standard (15h/assess, manual): 2.5h main + 2.5h resit = 5.0h; Standard (15h/assess, manual): 2.5h main + 2.5h resit = 5.0h; Pastoral: 25 students x 3h = 75.0h; Projects: 13 projects x UG (16h) = 208.0h</t>
        </is>
      </c>
      <c r="H45" s="4" t="inlineStr">
        <is>
          <t>PhD supervision: 2x full-time PhD student × 80h/FTE; 6x part-time PhD student × 48h/FTE; 1x assessor (8h each) = 456.0h</t>
        </is>
      </c>
      <c r="I45" s="4" t="inlineStr">
        <is>
          <t>Progression Panel: 10% of 1642h = 164.2h; Engagement (email/meetings): 100.0h; Personal development: 75.0h (FTE: 1.00)</t>
        </is>
      </c>
      <c r="J45" s="5" t="inlineStr">
        <is>
          <t>None</t>
        </is>
      </c>
      <c r="K45" s="5" t="inlineStr">
        <is>
          <t>None</t>
        </is>
      </c>
      <c r="L45" s="5" t="inlineStr">
        <is>
          <t>None</t>
        </is>
      </c>
    </row>
    <row r="46">
      <c r="A46" s="2" t="inlineStr">
        <is>
          <t>Pourya Shamsolmoali</t>
        </is>
      </c>
      <c r="B46" s="2" t="n">
        <v>1</v>
      </c>
      <c r="C46" s="3" t="n">
        <v>978.9</v>
      </c>
      <c r="D46" s="3" t="n">
        <v>452.55</v>
      </c>
      <c r="E46" s="3" t="n">
        <v>228.2</v>
      </c>
      <c r="F46" s="3" t="n">
        <v>298.15</v>
      </c>
      <c r="G46" s="4" t="inlineStr">
        <is>
          <t>DATA (20cr): Pourya Shamsolmoali: Standard (2.5x): 0.0h/teacher @ 2.5x; First time delivery: 1 sessions/week @ 2.0h each; - 2.5x lecturer rate applied (first session: 2.5x, repeats: 1.5x); Standard (15h/assess, manual): 3.8h main + 3.8h resit = 7.5h; Standard (15h/assess, manual): 3.8h main + 3.8h resit = 7.5h; DEEP (20cr): Pourya Shamsolmoali: New lecturer (5x): 0.0h base @ 2.5x + 0.0h content dev; First time delivery: 1 sessions/week @ 2.0h each; - Per-teacher rates applied: William Smith: 2.5x, Pourya Shamsolmoali: 5x; Standard (15h/assess, manual): 3.8h main + 3.8h resit = 7.5h; New setter (15h/assess, manual): 3.8h main + 3.8h resit = 11.2h; Pastoral: 5 students x 3h = 15.0h; Projects: 2 projects x UG (16h) = 32.0h</t>
        </is>
      </c>
      <c r="H46" s="4" t="inlineStr">
        <is>
          <t>PhD supervision: 1x part-time PhD student × 48h/FTE; 2x assessor (8h each) = 64.0h</t>
        </is>
      </c>
      <c r="I46" s="4" t="inlineStr">
        <is>
          <t>Graduate School Board (Ordinary member): 2% of 1642h = 41.1h; Other PLs: 5% of 1642h = 82.1h; Engagement (email/meetings): 100.0h; Personal development: 75.0h (FTE: 1.00)</t>
        </is>
      </c>
      <c r="J46" s="5" t="inlineStr">
        <is>
          <t>None</t>
        </is>
      </c>
      <c r="K46" s="5" t="inlineStr">
        <is>
          <t>None</t>
        </is>
      </c>
      <c r="L46" s="5" t="inlineStr">
        <is>
          <t>None</t>
        </is>
      </c>
    </row>
    <row r="47">
      <c r="A47" s="2" t="inlineStr">
        <is>
          <t>Radu Calinescu</t>
        </is>
      </c>
      <c r="B47" s="2" t="n">
        <v>1</v>
      </c>
      <c r="C47" s="3" t="n">
        <v>847.0400000000001</v>
      </c>
      <c r="D47" s="3" t="n">
        <v>131</v>
      </c>
      <c r="E47" s="3" t="n">
        <v>508.2</v>
      </c>
      <c r="F47" s="3" t="n">
        <v>207.84</v>
      </c>
      <c r="G47" s="4" t="inlineStr">
        <is>
          <t>GPIG (40cr): Radu Calinescu: Standard (2.5x): 0.0h/teacher @ 2.5x; Standard (15h/assess, manual): 11.2h main + 11.2h resit = 22.5h; Standard (15h/assess, manual): 11.2h main + 11.2h resit = 22.5h; Pastoral: 9 students x 3h = 27.0h; Projects: 1 projects x UG (16h) = 16.0h</t>
        </is>
      </c>
      <c r="H47" s="4" t="inlineStr">
        <is>
          <t>PhD supervision: 1x full-time PhD student × 80h/FTE; 5x part-time PhD student × 48h/FTE; 3x assessor (8h each) = 344.0h</t>
        </is>
      </c>
      <c r="I47" s="4" t="inlineStr">
        <is>
          <t>Research Mentor: 2% of 1642h = 32.8h; Engagement (email/meetings): 100.0h; Personal development: 75.0h (FTE: 1.00)</t>
        </is>
      </c>
      <c r="J47" s="5" t="inlineStr">
        <is>
          <t>None</t>
        </is>
      </c>
      <c r="K47" s="5" t="inlineStr">
        <is>
          <t>None</t>
        </is>
      </c>
      <c r="L47" s="5" t="inlineStr">
        <is>
          <t>None</t>
        </is>
      </c>
    </row>
    <row r="48">
      <c r="A48" s="2" t="inlineStr">
        <is>
          <t>Richard Hawkins</t>
        </is>
      </c>
      <c r="B48" s="2" t="n">
        <v>1</v>
      </c>
      <c r="C48" s="3" t="n">
        <v>1051.9</v>
      </c>
      <c r="D48" s="3" t="n">
        <v>354.4</v>
      </c>
      <c r="E48" s="3" t="n">
        <v>276.2</v>
      </c>
      <c r="F48" s="3" t="n">
        <v>421.3</v>
      </c>
      <c r="G48" s="4" t="inlineStr">
        <is>
          <t>CASA (10cr): Richard Hawkins: Standard (2.5x): 0.0h/teacher @ 2.5x; Standard (15h/assess, manual): 3.8h main + 3.8h resit = 7.5h; Standard (15h/assess, manual): 3.8h main + 3.8h resit = 7.5h; SCDR (10cr): Richard Hawkins: Standard (2.5x): 0.0h/teacher @ 2.5x; Standard (15h/assess, manual): 3.8h main + 3.8h resit = 7.5h; Standard (15h/assess, manual): 3.8h main + 3.8h resit = 7.5h; SESA (10cr): Richard Hawkins: Standard (2.5x): 0.0h/teacher @ 2.5x; Standard (15h/assess, manual): 3.8h main + 3.8h resit = 7.5h; Standard (15h/assess, manual): 3.8h main + 3.8h resit = 7.5h; Pastoral: 23 students x 3h = 69.0h; Projects: 6 projects x MSc (24h) = 144.0h</t>
        </is>
      </c>
      <c r="H48" s="4" t="inlineStr">
        <is>
          <t>PhD supervision: 2x part-time PhD student × 48h/FTE; 2x assessor (8h each) = 112.0h</t>
        </is>
      </c>
      <c r="I48" s="4" t="inlineStr">
        <is>
          <t>Other PLs: 5% of 1642h = 82.1h; Impact: 10% of 1642h = 164.2h; Engagement (email/meetings): 100.0h; Personal development: 75.0h (FTE: 1.00)</t>
        </is>
      </c>
      <c r="J48" s="5" t="inlineStr">
        <is>
          <t>None</t>
        </is>
      </c>
      <c r="K48" s="5" t="inlineStr">
        <is>
          <t>None</t>
        </is>
      </c>
      <c r="L48" s="5" t="inlineStr">
        <is>
          <t>None</t>
        </is>
      </c>
    </row>
    <row r="49">
      <c r="A49" s="2" t="inlineStr">
        <is>
          <t>Richard Wilson</t>
        </is>
      </c>
      <c r="B49" s="2" t="n">
        <v>0.6</v>
      </c>
      <c r="C49" s="3" t="n">
        <v>607.78</v>
      </c>
      <c r="D49" s="3" t="n">
        <v>3</v>
      </c>
      <c r="E49" s="3" t="n">
        <v>450.52</v>
      </c>
      <c r="F49" s="3" t="n">
        <v>154.26</v>
      </c>
      <c r="G49" s="4" t="inlineStr">
        <is>
          <t>; Pastoral: 1 students x 3h = 3.0h; Also teaches: Artificial Intelligence (AI) (SAINTS - not included in workload)</t>
        </is>
      </c>
      <c r="H49" s="4" t="inlineStr">
        <is>
          <t>PhD supervision: 3x full-time PhD student × 80h/FTE; 2x part-time PhD student × 48h/FTE; 2x assessor (8h each) = 352.0h</t>
        </is>
      </c>
      <c r="I49" s="4" t="inlineStr">
        <is>
          <t>ART staff representative: 0% of 985h = 0.0h; Research Group Leader: 5% of 985h = 49.3h; Engagement (email/meetings): 60.0h; Personal development: 45.0h (FTE: 0.60)</t>
        </is>
      </c>
      <c r="J49" s="5" t="inlineStr">
        <is>
          <t>None</t>
        </is>
      </c>
      <c r="K49" s="5" t="inlineStr">
        <is>
          <t>None</t>
        </is>
      </c>
      <c r="L49" s="5" t="inlineStr">
        <is>
          <t>None</t>
        </is>
      </c>
    </row>
    <row r="50">
      <c r="A50" s="2" t="inlineStr">
        <is>
          <t>Rob Alexander</t>
        </is>
      </c>
      <c r="B50" s="2" t="n">
        <v>1</v>
      </c>
      <c r="C50" s="3" t="n">
        <v>937.78</v>
      </c>
      <c r="D50" s="3" t="n">
        <v>380.9</v>
      </c>
      <c r="E50" s="3" t="n">
        <v>316.2</v>
      </c>
      <c r="F50" s="3" t="n">
        <v>240.68</v>
      </c>
      <c r="G50" s="4" t="inlineStr">
        <is>
          <t>HINT (20cr): Rob Alexander: Standard (2.5x): 0.0h/teacher @ 2.5x; Standard (15h/assess, manual): 3.8h main + 3.8h resit = 7.5h; Standard (15h/assess, manual): 3.8h main + 3.8h resit = 7.5h; RASS (10cr): Rob Alexander: Standard (2.5x): 0.0h/teacher @ 2.5x; Standard (15h/assess, manual): 3.8h main + 3.8h resit = 7.5h; Standard (15h/assess, manual): 3.8h main + 3.8h resit = 7.5h; REMS (20cr): Rob Alexander: Standard (2.5x): 0.0h/teacher @ 2.5x; Standard (15h/assess, manual): 7.5h main + 7.5h resit = 15.0h; Standard (15h/assess, manual): 7.5h main + 7.5h resit = 15.0h; Pastoral: 13 students x 3h = 39.0h; Projects: 6 projects x MSc (24h) = 144.0h</t>
        </is>
      </c>
      <c r="H50" s="4" t="inlineStr">
        <is>
          <t>PhD supervision: 3x part-time PhD student × 48h/FTE; 1x assessor (8h each) = 152.0h</t>
        </is>
      </c>
      <c r="I50" s="4" t="inlineStr">
        <is>
          <t>StAMP committee: 4% of 1642h = 65.7h; Engagement (email/meetings): 100.0h; Personal development: 75.0h (FTE: 1.00)</t>
        </is>
      </c>
      <c r="J50" s="5" t="inlineStr">
        <is>
          <t>None</t>
        </is>
      </c>
      <c r="K50" s="5" t="inlineStr">
        <is>
          <t>None</t>
        </is>
      </c>
      <c r="L50" s="5" t="inlineStr">
        <is>
          <t>None</t>
        </is>
      </c>
    </row>
    <row r="51">
      <c r="A51" s="2" t="inlineStr">
        <is>
          <t>Roberto Metere</t>
        </is>
      </c>
      <c r="B51" s="2" t="n">
        <v>1</v>
      </c>
      <c r="C51" s="3" t="n">
        <v>1104.363333333333</v>
      </c>
      <c r="D51" s="3" t="n">
        <v>595.4833333333333</v>
      </c>
      <c r="E51" s="3" t="n">
        <v>268.2</v>
      </c>
      <c r="F51" s="3" t="n">
        <v>240.68</v>
      </c>
      <c r="G51" s="4" t="inlineStr">
        <is>
          <t>CBDA (20cr): Roberto Metere: New lecturer (5x): 0.0h base @ 2.5x + 0.0h content dev; First time delivery: 1 sessions/week @ 2.0h each; - Per-teacher rates applied: Mike O'Dea: 2.5x, Roberto Metere: 5x; Standard (15h/assess, manual): 3.8h main + 3.8h resit = 7.5h; New setter (15h/assess, manual): 3.8h main + 3.8h resit = 11.2h; CTAP (20cr): Roberto Metere: Standard (2.5x): 0.0h/teacher @ 2.5x; First time delivery: 1 sessions/week @ 3.0h each; - 2.5x lecturer rate applied (first session: 2.5x, repeats: 1.5x); Standard (15h/assess, manual): 2.5h main + 2.5h resit = 5.0h; Standard (15h/assess, manual): 2.5h main + 2.5h resit = 5.0h; Standard (15h/assess, manual): 2.5h main + 2.5h resit = 5.0h; EHAC (20cr): Roberto Metere: Standard (2.5x): 0.0h/teacher @ 2.5x; First time delivery: 1 sessions/week @ 2.0h each; - 2.5x lecturer rate applied (first session: 2.5x, repeats: 1.5x); Standard (15h/assess, manual): 7.5h main + 7.5h resit = 15.0h; Standard (15h/assess, manual): 7.5h main + 7.5h resit = 15.0h; Pastoral: 20 students x 3h = 60.0h; Projects: 6 projects x UG (16h) = 96.0h</t>
        </is>
      </c>
      <c r="H51" s="4" t="inlineStr">
        <is>
          <t>PhD supervision: 2x part-time PhD student × 48h/FTE; 1x assessor (8h each) = 104.0h</t>
        </is>
      </c>
      <c r="I51" s="4" t="inlineStr">
        <is>
          <t>StAMP committee: 4% of 1642h = 65.7h; Engagement (email/meetings): 100.0h; Personal development: 75.0h (FTE: 1.00)</t>
        </is>
      </c>
      <c r="J51" s="5" t="inlineStr">
        <is>
          <t>None</t>
        </is>
      </c>
      <c r="K51" s="5" t="inlineStr">
        <is>
          <t>None</t>
        </is>
      </c>
      <c r="L51" s="5" t="inlineStr">
        <is>
          <t>None</t>
        </is>
      </c>
    </row>
    <row r="52">
      <c r="A52" s="2" t="inlineStr">
        <is>
          <t>Sam Braunstein</t>
        </is>
      </c>
      <c r="B52" s="2" t="n">
        <v>1</v>
      </c>
      <c r="C52" s="3" t="n">
        <v>623.7833333333333</v>
      </c>
      <c r="D52" s="3" t="n">
        <v>284.5833333333333</v>
      </c>
      <c r="E52" s="3" t="n">
        <v>164.2</v>
      </c>
      <c r="F52" s="3" t="n">
        <v>175</v>
      </c>
      <c r="G52" s="4" t="inlineStr">
        <is>
          <t>QUCO (20cr): Sam Braunstein: Standard (2.5x): 0.0h/teacher @ 2.5x; Standard (15h/assess, manual): 3.8h main + 3.8h resit = 7.5h; Standard (15h/assess, manual): 3.8h main + 3.8h resit = 7.5h; THE2 (20cr): Sam Braunstein: Standard (2.5x): 0.0h/teacher @ 2.5x; Standard (15h/assess, manual): 2.5h main + 2.5h resit = 5.0h; Standard (15h/assess, manual): 2.5h main + 2.5h resit = 5.0h; Standard (15h/assess, manual): 2.5h main + 2.5h resit = 5.0h; Pastoral: 4 students x 3h = 12.0h; Projects: 7 projects x UG (16h) = 112.0h</t>
        </is>
      </c>
      <c r="H52" s="4" t="inlineStr">
        <is>
          <t>No research activities recorded</t>
        </is>
      </c>
      <c r="I52" s="4" t="inlineStr">
        <is>
          <t>Engagement (email/meetings): 100.0h; Personal development: 75.0h (FTE: 1.00)</t>
        </is>
      </c>
      <c r="J52" s="5" t="inlineStr">
        <is>
          <t>None</t>
        </is>
      </c>
      <c r="K52" s="5" t="inlineStr">
        <is>
          <t>No administrative roles assigned</t>
        </is>
      </c>
      <c r="L52" s="5" t="inlineStr">
        <is>
          <t>None</t>
        </is>
      </c>
    </row>
    <row r="53">
      <c r="A53" s="2" t="inlineStr">
        <is>
          <t>Sarah Carrington</t>
        </is>
      </c>
      <c r="B53" s="2" t="n">
        <v>0.8</v>
      </c>
      <c r="C53" s="3" t="n">
        <v>600.66</v>
      </c>
      <c r="D53" s="3" t="n">
        <v>329.3</v>
      </c>
      <c r="E53" s="3" t="n">
        <v>131.36</v>
      </c>
      <c r="F53" s="3" t="n">
        <v>140</v>
      </c>
      <c r="G53" s="4" t="inlineStr">
        <is>
          <t>FSSE (10cr): Sarah Carrington: Standard (2.5x): 0.0h/teacher @ 2.5x; Standard (15h/assess, manual): 7.5h main + 7.5h resit = 15.0h; Standard (15h/assess, manual): 7.5h main + 7.5h resit = 15.0h; SCDR (10cr): Sarah Carrington: Standard (2.5x): 0.0h/teacher @ 2.5x; Standard (15h/assess, manual): 3.8h main + 3.8h resit = 7.5h; Standard (15h/assess, manual): 3.8h main + 3.8h resit = 7.5h; Pastoral: 9 students x 3h = 27.0h; Projects: 8 projects x MSc (24h) = 192.0h</t>
        </is>
      </c>
      <c r="H53" s="4" t="inlineStr">
        <is>
          <t>No research activities recorded</t>
        </is>
      </c>
      <c r="I53" s="4" t="inlineStr">
        <is>
          <t>Engagement (email/meetings): 80.0h; Personal development: 60.0h (FTE: 0.80)</t>
        </is>
      </c>
      <c r="J53" s="5" t="inlineStr">
        <is>
          <t>None</t>
        </is>
      </c>
      <c r="K53" s="5" t="inlineStr">
        <is>
          <t>No administrative roles assigned</t>
        </is>
      </c>
      <c r="L53" s="5" t="inlineStr">
        <is>
          <t>None</t>
        </is>
      </c>
    </row>
    <row r="54">
      <c r="A54" s="2" t="inlineStr">
        <is>
          <t>Siamak Shahandashti</t>
        </is>
      </c>
      <c r="B54" s="2" t="n">
        <v>1</v>
      </c>
      <c r="C54" s="3" t="n">
        <v>1185.166666666667</v>
      </c>
      <c r="D54" s="3" t="n">
        <v>367.6666666666666</v>
      </c>
      <c r="E54" s="3" t="n">
        <v>396.2</v>
      </c>
      <c r="F54" s="3" t="n">
        <v>421.3</v>
      </c>
      <c r="G54" s="4" t="inlineStr">
        <is>
          <t>CTAP (20cr): Siamak Shahandashti: Standard (2.5x): 0.0h/teacher @ 2.5x; First time delivery: 1 sessions/week @ 3.0h each; - 2.5x lecturer rate applied (first session: 2.5x, repeats: 1.5x); Standard (15h/assess, manual): 2.5h main + 2.5h resit = 5.0h; Standard (15h/assess, manual): 2.5h main + 2.5h resit = 5.0h; Standard (15h/assess, manual): 2.5h main + 2.5h resit = 5.0h; THE1 (20cr): Siamak Shahandashti: Standard (2.5x): 0.0h/teacher @ 2.5x; First time delivery: 1 sessions/week @ 1.0h each; - Per-teacher rates applied: Simon Foster: 5x, Nick Pears: 2.5x, Siamak Shahandashti: 2.5x; New setter (15h/assess, manual): 2.5h main + 2.5h resit = 7.5h; Standard (15h/assess, manual): 2.5h main + 2.5h resit = 5.0h; Standard (15h/assess, manual): 2.5h main + 2.5h resit = 5.0h; Pastoral: 17 students x 3h = 51.0h; Projects: 6 projects x UG (16h) = 96.0h</t>
        </is>
      </c>
      <c r="H54" s="4" t="inlineStr">
        <is>
          <t>PhD supervision: 1x full-time PhD student × 80h/FTE; 3x part-time PhD student × 48h/FTE; 1x assessor (8h each) = 232.0h</t>
        </is>
      </c>
      <c r="I54" s="4" t="inlineStr">
        <is>
          <t>Deputy Graduate Chair: 10% of 1642h = 164.2h; Research Group Leader: 5% of 1642h = 82.1h; Engagement (email/meetings): 100.0h; Personal development: 75.0h (FTE: 1.00)</t>
        </is>
      </c>
      <c r="J54" s="5" t="inlineStr">
        <is>
          <t>None</t>
        </is>
      </c>
      <c r="K54" s="5" t="inlineStr">
        <is>
          <t>None</t>
        </is>
      </c>
      <c r="L54" s="5" t="inlineStr">
        <is>
          <t>None</t>
        </is>
      </c>
    </row>
    <row r="55">
      <c r="A55" s="2" t="inlineStr">
        <is>
          <t>Simon Burton</t>
        </is>
      </c>
      <c r="B55" s="2" t="n">
        <v>1</v>
      </c>
      <c r="C55" s="3" t="n">
        <v>576.9</v>
      </c>
      <c r="D55" s="3" t="n">
        <v>53.7</v>
      </c>
      <c r="E55" s="3" t="n">
        <v>348.2</v>
      </c>
      <c r="F55" s="3" t="n">
        <v>175</v>
      </c>
      <c r="G55" s="4" t="inlineStr">
        <is>
          <t>CASA (10cr): Simon Burton: Standard (2.5x): 0.0h/teacher @ 2.5x; Standard (15h/assess, manual): 3.8h main + 3.8h resit = 7.5h; Standard (15h/assess, manual): 3.8h main + 3.8h resit = 7.5h</t>
        </is>
      </c>
      <c r="H55" s="4" t="inlineStr">
        <is>
          <t>PhD supervision: 1x full-time PhD student × 80h/FTE; 2x part-time PhD student × 48h/FTE; 1x assessor (8h each) = 184.0h</t>
        </is>
      </c>
      <c r="I55" s="4" t="inlineStr">
        <is>
          <t>Engagement (email/meetings): 100.0h; Personal development: 75.0h (FTE: 1.00)</t>
        </is>
      </c>
      <c r="J55" s="5" t="inlineStr">
        <is>
          <t>None</t>
        </is>
      </c>
      <c r="K55" s="5" t="inlineStr">
        <is>
          <t>No administrative roles assigned</t>
        </is>
      </c>
      <c r="L55" s="5" t="inlineStr">
        <is>
          <t>None</t>
        </is>
      </c>
    </row>
    <row r="56">
      <c r="A56" s="2" t="inlineStr">
        <is>
          <t>Simon Foster</t>
        </is>
      </c>
      <c r="B56" s="2" t="n">
        <v>1</v>
      </c>
      <c r="C56" s="3" t="n">
        <v>823.1166666666666</v>
      </c>
      <c r="D56" s="3" t="n">
        <v>371.9166666666666</v>
      </c>
      <c r="E56" s="3" t="n">
        <v>276.2</v>
      </c>
      <c r="F56" s="3" t="n">
        <v>175</v>
      </c>
      <c r="G56" s="4" t="inlineStr">
        <is>
          <t>THE1 (20cr): Simon Foster: New lecturer (5x): 0.0h base @ 2.5x + 0.0h content dev; First time delivery: 1 sessions/week @ 1.0h each; - Per-teacher rates applied: Simon Foster: 5x, Nick Pears: 2.5x, Siamak Shahandashti: 2.5x; New setter (15h/assess, manual): 2.5h main + 2.5h resit = 7.5h; Standard (15h/assess, manual): 2.5h main + 2.5h resit = 5.0h; Standard (15h/assess, manual): 2.5h main + 2.5h resit = 5.0h; THE3 (20cr): Simon Foster: Standard (2.5x): 0.0h/teacher @ 2.5x; First time delivery: 1 sessions/week @ 1.0h each; - 2.5x lecturer rate applied (first session: 2.5x, repeats: 1.5x); Standard (15h/assess, manual): 7.5h main + 7.5h resit = 15.0h; Standard (15h/assess, manual): 7.5h main + 7.5h resit = 15.0h; Pastoral: 11 students x 3h = 33.0h; Projects: 2 projects x UG (16h) = 32.0h</t>
        </is>
      </c>
      <c r="H56" s="4" t="inlineStr">
        <is>
          <t>PhD supervision: 2x part-time PhD student × 48h/FTE; 2x assessor (8h each) = 112.0h</t>
        </is>
      </c>
      <c r="I56" s="4" t="inlineStr">
        <is>
          <t>Engagement (email/meetings): 100.0h; Personal development: 75.0h (FTE: 1.00)</t>
        </is>
      </c>
      <c r="J56" s="5" t="inlineStr">
        <is>
          <t>None</t>
        </is>
      </c>
      <c r="K56" s="5" t="inlineStr">
        <is>
          <t>No administrative roles assigned</t>
        </is>
      </c>
      <c r="L56" s="5" t="inlineStr">
        <is>
          <t>None</t>
        </is>
      </c>
    </row>
    <row r="57">
      <c r="A57" s="2" t="inlineStr">
        <is>
          <t>Simos Gerasimou</t>
        </is>
      </c>
      <c r="B57" s="2" t="n">
        <v>1</v>
      </c>
      <c r="C57" s="3" t="n">
        <v>620.04</v>
      </c>
      <c r="D57" s="3" t="n">
        <v>0</v>
      </c>
      <c r="E57" s="3" t="n">
        <v>412.2</v>
      </c>
      <c r="F57" s="3" t="n">
        <v>207.84</v>
      </c>
      <c r="G57" s="4" t="inlineStr"/>
      <c r="H57" s="4" t="inlineStr">
        <is>
          <t>PhD supervision: 1x full-time PhD student × 80h/FTE; 3x part-time PhD student × 48h/FTE; 3x assessor (8h each) = 248.0h</t>
        </is>
      </c>
      <c r="I57" s="4" t="inlineStr">
        <is>
          <t>Research Mentor: 2% of 1642h = 32.8h; Engagement (email/meetings): 100.0h; Personal development: 75.0h (FTE: 1.00)</t>
        </is>
      </c>
      <c r="J57" s="5" t="inlineStr">
        <is>
          <t>None</t>
        </is>
      </c>
      <c r="K57" s="5" t="inlineStr">
        <is>
          <t>None</t>
        </is>
      </c>
      <c r="L57" s="5" t="inlineStr">
        <is>
          <t>None</t>
        </is>
      </c>
    </row>
    <row r="58">
      <c r="A58" s="2" t="inlineStr">
        <is>
          <t>Soumya Banerjee</t>
        </is>
      </c>
      <c r="B58" s="2" t="n">
        <v>1</v>
      </c>
      <c r="C58" s="3" t="n">
        <v>807.8333333333334</v>
      </c>
      <c r="D58" s="3" t="n">
        <v>304.4333333333333</v>
      </c>
      <c r="E58" s="3" t="n">
        <v>164.2</v>
      </c>
      <c r="F58" s="3" t="n">
        <v>339.2</v>
      </c>
      <c r="G58" s="4" t="inlineStr">
        <is>
          <t>AURO (20cr): Soumya Banerjee: New lecturer (5x): 0.0h base @ 2.5x + 0.0h content dev; Standard (15h/assess, manual): 2.5h main + 2.5h resit = 5.0h; Standard (15h/assess, manual): 2.5h main + 2.5h resit = 5.0h; New setter (15h/assess, manual): 2.5h main + 2.5h resit = 7.5h; LLMA (20cr): Soumya Banerjee: New lecturer + new content (7.5x): 0.0h base @ 2.5x + 0.0h content dev; New setter (15h/assess, manual): 2.5h main + 2.5h resit = 7.5h; Standard (15h/assess, manual): 2.5h main + 2.5h resit = 5.0h; New setter (15h/assess, manual): 2.5h main + 2.5h resit = 7.5h; Pastoral: 25 students x 3h = 75.0h</t>
        </is>
      </c>
      <c r="H58" s="4" t="inlineStr">
        <is>
          <t>No research activities recorded</t>
        </is>
      </c>
      <c r="I58" s="4" t="inlineStr">
        <is>
          <t>Mumbai Campus Partnership Leader: 10% of 1642h = 164.2h; Engagement (email/meetings): 100.0h; Personal development: 75.0h (FTE: 1.00)</t>
        </is>
      </c>
      <c r="J58" s="5" t="inlineStr">
        <is>
          <t>None</t>
        </is>
      </c>
      <c r="K58" s="5" t="inlineStr">
        <is>
          <t>LLMA: no student numbers in CS Module Numbers.csv - marking hours estimated from a default of 100 students</t>
        </is>
      </c>
      <c r="L58" s="5" t="inlineStr">
        <is>
          <t>None</t>
        </is>
      </c>
    </row>
    <row r="59">
      <c r="A59" s="2" t="inlineStr">
        <is>
          <t>Stefano Pirandola</t>
        </is>
      </c>
      <c r="B59" s="2" t="n">
        <v>1</v>
      </c>
      <c r="C59" s="3" t="n">
        <v>1118.15</v>
      </c>
      <c r="D59" s="3" t="n">
        <v>258.55</v>
      </c>
      <c r="E59" s="3" t="n">
        <v>356.2</v>
      </c>
      <c r="F59" s="3" t="n">
        <v>503.4</v>
      </c>
      <c r="G59" s="4" t="inlineStr">
        <is>
          <t>QUCO (20cr): Stefano Pirandola: Standard (2.5x): 0.0h/teacher @ 2.5x; Standard (15h/assess, manual): 3.8h main + 3.8h resit = 7.5h; Standard (15h/assess, manual): 3.8h main + 3.8h resit = 7.5h; Pastoral: 25 students x 3h = 75.0h; Projects: 6 projects x UG (16h) = 96.0h</t>
        </is>
      </c>
      <c r="H59" s="4" t="inlineStr">
        <is>
          <t>PhD supervision: 1x full-time PhD student × 80h/FTE; 2x part-time PhD student × 48h/FTE; 2x assessor (8h each) = 192.0h</t>
        </is>
      </c>
      <c r="I59" s="4" t="inlineStr">
        <is>
          <t>Progression Panel Chair: 15% of 1642h = 246.3h; Research Group Leader: 5% of 1642h = 82.1h; Engagement (email/meetings): 100.0h; Personal development: 75.0h (FTE: 1.00)</t>
        </is>
      </c>
      <c r="J59" s="5" t="inlineStr">
        <is>
          <t>None</t>
        </is>
      </c>
      <c r="K59" s="5" t="inlineStr">
        <is>
          <t>None</t>
        </is>
      </c>
      <c r="L59" s="5" t="inlineStr">
        <is>
          <t>None</t>
        </is>
      </c>
    </row>
    <row r="60">
      <c r="A60" s="2" t="inlineStr">
        <is>
          <t>Steven Wright</t>
        </is>
      </c>
      <c r="B60" s="2" t="n">
        <v>1</v>
      </c>
      <c r="C60" s="3" t="n">
        <v>1353.8</v>
      </c>
      <c r="D60" s="3" t="n">
        <v>234</v>
      </c>
      <c r="E60" s="3" t="n">
        <v>452.2</v>
      </c>
      <c r="F60" s="3" t="n">
        <v>667.5999999999999</v>
      </c>
      <c r="G60" s="4" t="inlineStr">
        <is>
          <t>HIPC (20cr): Steven Wright: Standard (2.5x): 0.0h/teacher @ 2.5x; First time delivery: 1 sessions/week @ 2.0h each; - 2.5x lecturer rate applied (first session: 2.5x, repeats: 1.5x); Standard (15h/assess, manual): 3.8h main + 3.8h resit = 7.5h; Standard (15h/assess, manual): 3.8h main + 3.8h resit = 7.5h; Pastoral: 14 students x 3h = 42.0h; Projects: 4 projects x UG (16h) = 64.0h</t>
        </is>
      </c>
      <c r="H60" s="4" t="inlineStr">
        <is>
          <t>PhD supervision: 3x full-time PhD student × 80h/FTE; 1x part-time PhD student × 48h/FTE = 288.0h</t>
        </is>
      </c>
      <c r="I60" s="4" t="inlineStr">
        <is>
          <t>CBoE (on-campus): 30% of 1642h = 492.6h; Engagement (email/meetings): 100.0h; Personal development: 75.0h (FTE: 1.00)</t>
        </is>
      </c>
      <c r="J60" s="5" t="inlineStr">
        <is>
          <t>None</t>
        </is>
      </c>
      <c r="K60" s="5" t="inlineStr">
        <is>
          <t>None</t>
        </is>
      </c>
      <c r="L60" s="5" t="inlineStr">
        <is>
          <t>None</t>
        </is>
      </c>
    </row>
    <row r="61">
      <c r="A61" s="2" t="inlineStr">
        <is>
          <t>Steven Xiaotian Dai</t>
        </is>
      </c>
      <c r="B61" s="2" t="n">
        <v>1</v>
      </c>
      <c r="C61" s="3" t="n">
        <v>1140.4</v>
      </c>
      <c r="D61" s="3" t="n">
        <v>368.8</v>
      </c>
      <c r="E61" s="3" t="n">
        <v>268.2</v>
      </c>
      <c r="F61" s="3" t="n">
        <v>503.4</v>
      </c>
      <c r="G61" s="4" t="inlineStr">
        <is>
          <t>EMBS (20cr): Steven Xiaotian Dai: Standard (2.5x): 0.0h/teacher @ 2.5x; First time delivery: 1 sessions/week @ 2.0h each; - 2.5x lecturer rate applied (first session: 2.5x, repeats: 1.5x); Standard (15h/assess, manual): 3.8h main + 3.8h resit = 7.5h; Standard (15h/assess, manual): 3.8h main + 3.8h resit = 7.5h; HIPC (20cr): Steven Xiaotian Dai: Standard (2.5x): 0.0h/teacher @ 2.5x; First time delivery: 1 sessions/week @ 2.0h each; - 2.5x lecturer rate applied (first session: 2.5x, repeats: 1.5x); Standard (15h/assess, manual): 3.8h main + 3.8h resit = 7.5h; Standard (15h/assess, manual): 3.8h main + 3.8h resit = 7.5h; Pastoral: 15 students x 3h = 45.0h; Projects: 6 projects x UG (16h) = 96.0h</t>
        </is>
      </c>
      <c r="H61" s="4" t="inlineStr">
        <is>
          <t>PhD supervision: 2x part-time PhD student × 48h/FTE; 1x assessor (8h each) = 104.0h</t>
        </is>
      </c>
      <c r="I61" s="4" t="inlineStr">
        <is>
          <t>Student Disability Representative: 20% of 1642h = 328.4h; Engagement (email/meetings): 100.0h; Personal development: 75.0h (FTE: 1.00)</t>
        </is>
      </c>
      <c r="J61" s="5" t="inlineStr">
        <is>
          <t>None</t>
        </is>
      </c>
      <c r="K61" s="5" t="inlineStr">
        <is>
          <t>None</t>
        </is>
      </c>
      <c r="L61" s="5" t="inlineStr">
        <is>
          <t>None</t>
        </is>
      </c>
    </row>
    <row r="62">
      <c r="A62" s="2" t="inlineStr">
        <is>
          <t>Tommy Yuan</t>
        </is>
      </c>
      <c r="B62" s="2" t="n">
        <v>1</v>
      </c>
      <c r="C62" s="3" t="n">
        <v>1477.546666666667</v>
      </c>
      <c r="D62" s="3" t="n">
        <v>544.2666666666667</v>
      </c>
      <c r="E62" s="3" t="n">
        <v>364.2</v>
      </c>
      <c r="F62" s="3" t="n">
        <v>569.08</v>
      </c>
      <c r="G62" s="4" t="inlineStr">
        <is>
          <t>ARIA (20cr): Tommy Yuan: Existing lecturer + new content (5x): 0.0h base @ 2.5x + 0.0h content dev; Standard (15h/assess, manual): 2.5h main + 2.5h resit = 5.0h; Standard (15h/assess, manual): 2.5h main + 2.5h resit = 5.0h; Standard (15h/assess, manual): 2.5h main + 2.5h resit = 5.0h; ENG1 (20cr): Tommy Yuan: Standard (2.5x): 0.0h/teacher @ 2.5x; First time delivery: 1 sessions/week @ 2.0h each; - 2.5x lecturer rate applied (first session: 2.5x, repeats: 1.5x); Standard (15h/assess, manual): 7.5h main + 7.5h resit = 15.0h; Standard (15h/assess, manual): 7.5h main + 7.5h resit = 15.0h; FOAM (20cr): Tommy Yuan: Existing lecturer + new content (5x): 0.0h base @ 2.5x + 0.0h content dev; Standard (15h/assess, manual): 3.8h main + 3.8h resit = 7.5h; Standard (15h/assess, manual): 3.8h main + 3.8h resit = 7.5h; Pastoral: 18 students x 3h = 54.0h; Projects: 4 projects x UG (16h) = 64.0h</t>
        </is>
      </c>
      <c r="H62" s="4" t="inlineStr">
        <is>
          <t>PhD supervision: 1x full-time PhD student × 80h/FTE; 2x part-time PhD student × 48h/FTE; 3x assessor (8h each) = 200.0h</t>
        </is>
      </c>
      <c r="I62" s="4" t="inlineStr">
        <is>
          <t>CSCSE HAP Partnership Leader: 10% of 1642h = 164.2h; Deputy CBoEs: 10% of 1642h = 164.2h; StAMP committee: 4% of 1642h = 65.7h; Engagement (email/meetings): 100.0h; Personal development: 75.0h (FTE: 1.00)</t>
        </is>
      </c>
      <c r="J62" s="5" t="inlineStr">
        <is>
          <t>None</t>
        </is>
      </c>
      <c r="K62" s="5" t="inlineStr">
        <is>
          <t>ARIA: no student numbers in CS Module Numbers.csv - marking hours estimated from a default of 100 students</t>
        </is>
      </c>
      <c r="L62" s="5" t="inlineStr">
        <is>
          <t>None</t>
        </is>
      </c>
    </row>
    <row r="63">
      <c r="A63" s="2" t="inlineStr">
        <is>
          <t>Vasileios Vasilakis</t>
        </is>
      </c>
      <c r="B63" s="2" t="n">
        <v>1</v>
      </c>
      <c r="C63" s="3" t="n">
        <v>1079.9</v>
      </c>
      <c r="D63" s="3" t="n">
        <v>384.5</v>
      </c>
      <c r="E63" s="3" t="n">
        <v>356.2</v>
      </c>
      <c r="F63" s="3" t="n">
        <v>339.2</v>
      </c>
      <c r="G63" s="4" t="inlineStr">
        <is>
          <t>NETS (20cr): Vasileios Vasilakis: Standard (2.5x): 0.0h/teacher @ 2.5x; First time delivery: 1 sessions/week @ 2.0h each; - 2.5x lecturer rate applied (first session: 2.5x, repeats: 1.5x); Standard (15h/assess, manual): 3.8h main + 3.8h resit = 7.5h; Standard (15h/assess, manual): 3.8h main + 3.8h resit = 7.5h; SESA (10cr): Vasileios Vasilakis: Standard (2.5x): 0.0h/teacher @ 2.5x; Standard (15h/assess, manual): 3.8h main + 3.8h resit = 7.5h; Standard (15h/assess, manual): 3.8h main + 3.8h resit = 7.5h; Pastoral: 26 students x 3h = 78.0h; Projects: 6 projects x MSc (24h) = 144.0h</t>
        </is>
      </c>
      <c r="H63" s="4" t="inlineStr">
        <is>
          <t>PhD supervision: 1x full-time PhD student × 80h/FTE; 2x part-time PhD student × 48h/FTE; 2x assessor (8h each) = 192.0h</t>
        </is>
      </c>
      <c r="I63" s="4" t="inlineStr">
        <is>
          <t>Deputy CBoEs: 10% of 1642h = 164.2h; Engagement (email/meetings): 100.0h; Personal development: 75.0h (FTE: 1.00)</t>
        </is>
      </c>
      <c r="J63" s="5" t="inlineStr">
        <is>
          <t>None</t>
        </is>
      </c>
      <c r="K63" s="5" t="inlineStr">
        <is>
          <t>None</t>
        </is>
      </c>
      <c r="L63" s="5" t="inlineStr">
        <is>
          <t>None</t>
        </is>
      </c>
    </row>
    <row r="64">
      <c r="A64" s="2" t="inlineStr">
        <is>
          <t>William Smith</t>
        </is>
      </c>
      <c r="B64" s="2" t="n">
        <v>1</v>
      </c>
      <c r="C64" s="3" t="n">
        <v>1424.216666666667</v>
      </c>
      <c r="D64" s="3" t="n">
        <v>367.7666666666667</v>
      </c>
      <c r="E64" s="3" t="n">
        <v>676.2</v>
      </c>
      <c r="F64" s="3" t="n">
        <v>380.25</v>
      </c>
      <c r="G64" s="4" t="inlineStr">
        <is>
          <t>DEEP (20cr): William Smith: Standard (2.5x): 0.0h/teacher @ 2.5x; First time delivery: 1 sessions/week @ 2.0h each; - Per-teacher rates applied: William Smith: 2.5x, Pourya Shamsolmoali: 5x; Standard (15h/assess, manual): 3.8h main + 3.8h resit = 7.5h; New setter (15h/assess, manual): 3.8h main + 3.8h resit = 11.2h; ROCS (20cr): William Smith: Standard (2.5x): 0.0h/teacher @ 2.5x; First time delivery: 1 sessions/week @ 2.0h each; - Per-teacher rates applied: William Smith: 2.5x, Mike O'Dea: 5x, Colin Paterson: 5x; Standard (15h/assess, manual): 5.0h main + 5.0h resit = 10.0h; New setter (15h/assess, manual): 5.0h main + 5.0h resit = 15.0h; New setter (15h/assess, manual): 5.0h main + 5.0h resit = 15.0h; Pastoral: 7 students x 3h = 21.0h; Projects: 6 projects x UG (16h) = 96.0h</t>
        </is>
      </c>
      <c r="H64" s="4" t="inlineStr">
        <is>
          <t>PhD supervision: 4x full-time PhD student × 80h/FTE; 3x part-time PhD student × 48h/FTE; 6x assessor (8h each) = 512.0h</t>
        </is>
      </c>
      <c r="I64" s="4" t="inlineStr">
        <is>
          <t>Director of Admissions: 5% of 1642h = 82.1h; Internally Distributed Funding panel reviewer: 2% of 1642h = 41.1h; Research Group Leader: 5% of 1642h = 82.1h; Engagement (email/meetings): 100.0h; Personal development: 75.0h (FTE: 1.00)</t>
        </is>
      </c>
      <c r="J64" s="5" t="inlineStr">
        <is>
          <t>None</t>
        </is>
      </c>
      <c r="K64" s="5" t="inlineStr">
        <is>
          <t>None</t>
        </is>
      </c>
      <c r="L64" s="5" t="inlineStr">
        <is>
          <t>None</t>
        </is>
      </c>
    </row>
    <row r="65">
      <c r="A65" s="2" t="inlineStr">
        <is>
          <t>Xinwei Fang</t>
        </is>
      </c>
      <c r="B65" s="2" t="n">
        <v>1</v>
      </c>
      <c r="C65" s="3" t="n">
        <v>893.1</v>
      </c>
      <c r="D65" s="3" t="n">
        <v>391.8</v>
      </c>
      <c r="E65" s="3" t="n">
        <v>244.2</v>
      </c>
      <c r="F65" s="3" t="n">
        <v>257.1</v>
      </c>
      <c r="G65" s="4" t="inlineStr">
        <is>
          <t>DATA (20cr): Xinwei Fang: Standard (2.5x): 0.0h/teacher @ 2.5x; First time delivery: 1 sessions/week @ 2.0h each; - 2.5x lecturer rate applied (first session: 2.5x, repeats: 1.5x); Standard (15h/assess, manual): 3.8h main + 3.8h resit = 7.5h; Standard (15h/assess, manual): 3.8h main + 3.8h resit = 7.5h; GPIG (40cr): Xinwei Fang: Standard (2.5x): 0.0h/teacher @ 2.5x; Standard (15h/assess, manual): 11.2h main + 11.2h resit = 22.5h; Standard (15h/assess, manual): 11.2h main + 11.2h resit = 22.5h; Pastoral: 9 students x 3h = 27.0h; Projects: 5 projects x UG (16h) = 80.0h</t>
        </is>
      </c>
      <c r="H65" s="4" t="inlineStr">
        <is>
          <t>PhD supervision: 1x full-time PhD student × 80h/FTE = 80.0h</t>
        </is>
      </c>
      <c r="I65" s="4" t="inlineStr">
        <is>
          <t>Other PLs: 5% of 1642h = 82.1h; Engagement (email/meetings): 100.0h; Personal development: 75.0h (FTE: 1.00)</t>
        </is>
      </c>
      <c r="J65" s="5" t="inlineStr">
        <is>
          <t>None</t>
        </is>
      </c>
      <c r="K65" s="5" t="inlineStr">
        <is>
          <t>None</t>
        </is>
      </c>
      <c r="L65" s="5" t="inlineStr">
        <is>
          <t>None</t>
        </is>
      </c>
    </row>
    <row r="66">
      <c r="A66" s="2" t="inlineStr">
        <is>
          <t>Yan Jia</t>
        </is>
      </c>
      <c r="B66" s="2" t="n">
        <v>1</v>
      </c>
      <c r="C66" s="3" t="n">
        <v>822.6</v>
      </c>
      <c r="D66" s="3" t="n">
        <v>91</v>
      </c>
      <c r="E66" s="3" t="n">
        <v>228.2</v>
      </c>
      <c r="F66" s="3" t="n">
        <v>503.4</v>
      </c>
      <c r="G66" s="4" t="inlineStr">
        <is>
          <t>; Pastoral: 9 students x 3h = 27.0h; Projects: 4 projects x UG (16h) = 64.0h; Also teaches: Designing Safe AI (Safe AI 2), Foundations of Safe AI (Safe AI 1) (SAINTS - not included in workload)</t>
        </is>
      </c>
      <c r="H66" s="4" t="inlineStr">
        <is>
          <t>PhD supervision: 1x part-time PhD student × 48h/FTE; 2x assessor (8h each) = 64.0h</t>
        </is>
      </c>
      <c r="I66" s="4" t="inlineStr">
        <is>
          <t>Ethics Committee Member: 20% of 1642h = 328.4h; Engagement (email/meetings): 100.0h; Personal development: 75.0h (FTE: 1.00)</t>
        </is>
      </c>
      <c r="J66" s="5" t="inlineStr">
        <is>
          <t>None</t>
        </is>
      </c>
      <c r="K66" s="5" t="inlineStr">
        <is>
          <t>None</t>
        </is>
      </c>
      <c r="L66" s="5" t="inlineStr">
        <is>
          <t>None</t>
        </is>
      </c>
    </row>
    <row r="67">
      <c r="A67" s="2" t="inlineStr">
        <is>
          <t>Yuchen Zhao</t>
        </is>
      </c>
      <c r="B67" s="2" t="n">
        <v>1</v>
      </c>
      <c r="C67" s="3" t="n">
        <v>840.5</v>
      </c>
      <c r="D67" s="3" t="n">
        <v>403.2</v>
      </c>
      <c r="E67" s="3" t="n">
        <v>180.2</v>
      </c>
      <c r="F67" s="3" t="n">
        <v>257.1</v>
      </c>
      <c r="G67" s="4" t="inlineStr">
        <is>
          <t>EHAC (20cr): Yuchen Zhao: Standard (2.5x): 0.0h/teacher @ 2.5x; First time delivery: 1 sessions/week @ 2.0h each; - 2.5x lecturer rate applied (first session: 2.5x, repeats: 1.5x); Standard (15h/assess, manual): 7.5h main + 7.5h resit = 15.0h; Standard (15h/assess, manual): 7.5h main + 7.5h resit = 15.0h; NETS (20cr): Yuchen Zhao: Standard (2.5x): 0.0h/teacher @ 2.5x; First time delivery: 1 sessions/week @ 2.0h each; - 2.5x lecturer rate applied (first session: 2.5x, repeats: 1.5x); Standard (15h/assess, manual): 3.8h main + 3.8h resit = 7.5h; Standard (15h/assess, manual): 3.8h main + 3.8h resit = 7.5h; Pastoral: 25 students x 3h = 75.0h; Projects: 6 projects x UG (16h) = 96.0h</t>
        </is>
      </c>
      <c r="H67" s="4" t="inlineStr">
        <is>
          <t>PhD supervision: 2x assessor (8h each) = 16.0h</t>
        </is>
      </c>
      <c r="I67" s="4" t="inlineStr">
        <is>
          <t>Other PLs: 5% of 1642h = 82.1h; Engagement (email/meetings): 100.0h; Personal development: 75.0h (FTE: 1.00)</t>
        </is>
      </c>
      <c r="J67" s="5" t="inlineStr">
        <is>
          <t>None</t>
        </is>
      </c>
      <c r="K67" s="5" t="inlineStr">
        <is>
          <t>None</t>
        </is>
      </c>
      <c r="L67" s="5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Name</t>
        </is>
      </c>
      <c r="B1" s="6" t="inlineStr">
        <is>
          <t>Teaching</t>
        </is>
      </c>
      <c r="C1" s="6" t="inlineStr">
        <is>
          <t>Research</t>
        </is>
      </c>
      <c r="D1" s="6" t="inlineStr">
        <is>
          <t>Admin</t>
        </is>
      </c>
      <c r="E1" s="6" t="inlineStr">
        <is>
          <t>Total</t>
        </is>
      </c>
    </row>
    <row r="2">
      <c r="A2" t="inlineStr">
        <is>
          <t>Adrian Bors</t>
        </is>
      </c>
      <c r="B2" s="7" t="n">
        <v>443.5</v>
      </c>
      <c r="C2" s="7" t="n">
        <v>412.2</v>
      </c>
      <c r="D2" s="7" t="n">
        <v>257.1</v>
      </c>
      <c r="E2" s="7">
        <f>SUM(B2:D2)</f>
        <v/>
      </c>
    </row>
    <row r="3">
      <c r="A3" t="inlineStr">
        <is>
          <t>Alena Denisova</t>
        </is>
      </c>
      <c r="B3" s="7" t="n">
        <v>319</v>
      </c>
      <c r="C3" s="7" t="n">
        <v>444.2</v>
      </c>
      <c r="D3" s="7" t="n">
        <v>503.4</v>
      </c>
      <c r="E3" s="7">
        <f>SUM(B3:D3)</f>
        <v/>
      </c>
    </row>
    <row r="4">
      <c r="A4" t="inlineStr">
        <is>
          <t>Alvaro Miyazawa</t>
        </is>
      </c>
      <c r="B4" s="7" t="n">
        <v>319.8333333333333</v>
      </c>
      <c r="C4" s="7" t="n">
        <v>268.2</v>
      </c>
      <c r="D4" s="7" t="n">
        <v>339.2</v>
      </c>
      <c r="E4" s="7">
        <f>SUM(B4:D4)</f>
        <v/>
      </c>
    </row>
    <row r="5">
      <c r="A5" t="inlineStr">
        <is>
          <t>Ana Cavalcanti</t>
        </is>
      </c>
      <c r="B5" s="7" t="n">
        <v>0</v>
      </c>
      <c r="C5" s="7" t="n">
        <v>548.2</v>
      </c>
      <c r="D5" s="7" t="n">
        <v>257.1</v>
      </c>
      <c r="E5" s="7">
        <f>SUM(B5:D5)</f>
        <v/>
      </c>
    </row>
    <row r="6">
      <c r="A6" t="inlineStr">
        <is>
          <t>Andrew Pomfret</t>
        </is>
      </c>
      <c r="B6" s="7" t="n">
        <v>395.6333333333333</v>
      </c>
      <c r="C6" s="7" t="n">
        <v>164.2</v>
      </c>
      <c r="D6" s="7" t="n">
        <v>257.1</v>
      </c>
      <c r="E6" s="7">
        <f>SUM(B6:D6)</f>
        <v/>
      </c>
    </row>
    <row r="7">
      <c r="A7" t="inlineStr">
        <is>
          <t>Antonio Garcia-Dominguez</t>
        </is>
      </c>
      <c r="B7" s="7" t="n">
        <v>357.3</v>
      </c>
      <c r="C7" s="7" t="n">
        <v>316.2</v>
      </c>
      <c r="D7" s="7" t="n">
        <v>175</v>
      </c>
      <c r="E7" s="7">
        <f>SUM(B7:D7)</f>
        <v/>
      </c>
    </row>
    <row r="8">
      <c r="A8" t="inlineStr">
        <is>
          <t>Carlo Ottaviani</t>
        </is>
      </c>
      <c r="B8" s="7" t="n">
        <v>407.5333333333333</v>
      </c>
      <c r="C8" s="7" t="n">
        <v>268.2</v>
      </c>
      <c r="D8" s="7" t="n">
        <v>339.2</v>
      </c>
      <c r="E8" s="7">
        <f>SUM(B8:D8)</f>
        <v/>
      </c>
    </row>
    <row r="9">
      <c r="A9" t="inlineStr">
        <is>
          <t>Christopher Crispin-Bailey</t>
        </is>
      </c>
      <c r="B9" s="7" t="n">
        <v>593.1</v>
      </c>
      <c r="C9" s="7" t="n">
        <v>164.2</v>
      </c>
      <c r="D9" s="7" t="n">
        <v>462.35</v>
      </c>
      <c r="E9" s="7">
        <f>SUM(B9:D9)</f>
        <v/>
      </c>
    </row>
    <row r="10">
      <c r="A10" t="inlineStr">
        <is>
          <t>Claire Ingram</t>
        </is>
      </c>
      <c r="B10" s="7" t="n">
        <v>399.6</v>
      </c>
      <c r="C10" s="7" t="n">
        <v>164.2</v>
      </c>
      <c r="D10" s="7" t="n">
        <v>257.1</v>
      </c>
      <c r="E10" s="7">
        <f>SUM(B10:D10)</f>
        <v/>
      </c>
    </row>
    <row r="11">
      <c r="A11" t="inlineStr">
        <is>
          <t>Claudio Guarnera</t>
        </is>
      </c>
      <c r="B11" s="7" t="n">
        <v>196.8666666666667</v>
      </c>
      <c r="C11" s="7" t="n">
        <v>177.68</v>
      </c>
      <c r="D11" s="7" t="n">
        <v>70</v>
      </c>
      <c r="E11" s="7">
        <f>SUM(B11:D11)</f>
        <v/>
      </c>
    </row>
    <row r="12">
      <c r="A12" t="inlineStr">
        <is>
          <t>Colin Paterson</t>
        </is>
      </c>
      <c r="B12" s="7" t="n">
        <v>385.4</v>
      </c>
      <c r="C12" s="7" t="n">
        <v>284.2</v>
      </c>
      <c r="D12" s="7" t="n">
        <v>175</v>
      </c>
      <c r="E12" s="7">
        <f>SUM(B12:D12)</f>
        <v/>
      </c>
    </row>
    <row r="13">
      <c r="A13" t="inlineStr">
        <is>
          <t>Da Li</t>
        </is>
      </c>
      <c r="B13" s="7" t="n">
        <v>205.8333333333333</v>
      </c>
      <c r="C13" s="7" t="n">
        <v>164.2</v>
      </c>
      <c r="D13" s="7" t="n">
        <v>175</v>
      </c>
      <c r="E13" s="7">
        <f>SUM(B13:D13)</f>
        <v/>
      </c>
    </row>
    <row r="14">
      <c r="A14" t="inlineStr">
        <is>
          <t>David Pumfrey</t>
        </is>
      </c>
      <c r="B14" s="7" t="n">
        <v>96.09999999999999</v>
      </c>
      <c r="C14" s="7" t="n">
        <v>82.09999999999999</v>
      </c>
      <c r="D14" s="7" t="n">
        <v>87.5</v>
      </c>
      <c r="E14" s="7">
        <f>SUM(B14:D14)</f>
        <v/>
      </c>
    </row>
    <row r="15">
      <c r="A15" t="inlineStr">
        <is>
          <t>Dawn H Wood</t>
        </is>
      </c>
      <c r="B15" s="7" t="n">
        <v>476.8</v>
      </c>
      <c r="C15" s="7" t="n">
        <v>164.2</v>
      </c>
      <c r="D15" s="7" t="n">
        <v>175</v>
      </c>
      <c r="E15" s="7">
        <f>SUM(B15:D15)</f>
        <v/>
      </c>
    </row>
    <row r="16">
      <c r="A16" t="inlineStr">
        <is>
          <t>Detlef Plump</t>
        </is>
      </c>
      <c r="B16" s="7" t="n">
        <v>389.3833333333333</v>
      </c>
      <c r="C16" s="7" t="n">
        <v>260.2</v>
      </c>
      <c r="D16" s="7" t="n">
        <v>503.4</v>
      </c>
      <c r="E16" s="7">
        <f>SUM(B16:D16)</f>
        <v/>
      </c>
    </row>
    <row r="17">
      <c r="A17" t="inlineStr">
        <is>
          <t>Dimitar Kazakov</t>
        </is>
      </c>
      <c r="B17" s="7" t="n">
        <v>386.8</v>
      </c>
      <c r="C17" s="7" t="n">
        <v>620.2</v>
      </c>
      <c r="D17" s="7" t="n">
        <v>503.4</v>
      </c>
      <c r="E17" s="7">
        <f>SUM(B17:D17)</f>
        <v/>
      </c>
    </row>
    <row r="18">
      <c r="A18" t="inlineStr">
        <is>
          <t>Dimitris Kolovos</t>
        </is>
      </c>
      <c r="B18" s="7" t="n">
        <v>50.2</v>
      </c>
      <c r="C18" s="7" t="n">
        <v>540.2</v>
      </c>
      <c r="D18" s="7" t="n">
        <v>289.94</v>
      </c>
      <c r="E18" s="7">
        <f>SUM(B18:D18)</f>
        <v/>
      </c>
    </row>
    <row r="19">
      <c r="A19" t="inlineStr">
        <is>
          <t>Fang Yan</t>
        </is>
      </c>
      <c r="B19" s="7" t="n">
        <v>182.4</v>
      </c>
      <c r="C19" s="7" t="n">
        <v>164.2</v>
      </c>
      <c r="D19" s="7" t="n">
        <v>175</v>
      </c>
      <c r="E19" s="7">
        <f>SUM(B19:D19)</f>
        <v/>
      </c>
    </row>
    <row r="20">
      <c r="A20" t="inlineStr">
        <is>
          <t>Felix Ulrich-Oltean</t>
        </is>
      </c>
      <c r="B20" s="7" t="n">
        <v>71</v>
      </c>
      <c r="C20" s="7" t="n">
        <v>212.2</v>
      </c>
      <c r="D20" s="7" t="n">
        <v>175</v>
      </c>
      <c r="E20" s="7">
        <f>SUM(B20:D20)</f>
        <v/>
      </c>
    </row>
    <row r="21">
      <c r="A21" t="inlineStr">
        <is>
          <t>Frank Soboczenski</t>
        </is>
      </c>
      <c r="B21" s="7" t="n">
        <v>91.66666666666666</v>
      </c>
      <c r="C21" s="7" t="n">
        <v>300.2</v>
      </c>
      <c r="D21" s="7" t="n">
        <v>257.1</v>
      </c>
      <c r="E21" s="7">
        <f>SUM(B21:D21)</f>
        <v/>
      </c>
    </row>
    <row r="22">
      <c r="A22" t="inlineStr">
        <is>
          <t>Iain Bate</t>
        </is>
      </c>
      <c r="B22" s="7" t="n">
        <v>30</v>
      </c>
      <c r="C22" s="7" t="n">
        <v>260.2</v>
      </c>
      <c r="D22" s="7" t="n">
        <v>1817</v>
      </c>
      <c r="E22" s="7">
        <f>SUM(B22:D22)</f>
        <v/>
      </c>
    </row>
    <row r="23">
      <c r="A23" t="inlineStr">
        <is>
          <t>Ian Gray</t>
        </is>
      </c>
      <c r="B23" s="7" t="n">
        <v>99.8</v>
      </c>
      <c r="C23" s="7" t="n">
        <v>348.2</v>
      </c>
      <c r="D23" s="7" t="n">
        <v>996</v>
      </c>
      <c r="E23" s="7">
        <f>SUM(B23:D23)</f>
        <v/>
      </c>
    </row>
    <row r="24">
      <c r="A24" t="inlineStr">
        <is>
          <t>Ibrahim Habli</t>
        </is>
      </c>
      <c r="B24" s="7" t="n">
        <v>0</v>
      </c>
      <c r="C24" s="7" t="n">
        <v>428.2</v>
      </c>
      <c r="D24" s="7" t="n">
        <v>175</v>
      </c>
      <c r="E24" s="7">
        <f>SUM(B24:D24)</f>
        <v/>
      </c>
    </row>
    <row r="25">
      <c r="A25" t="inlineStr">
        <is>
          <t>Jacob Rigby</t>
        </is>
      </c>
      <c r="B25" s="7" t="n">
        <v>243.2333333333333</v>
      </c>
      <c r="C25" s="7" t="n">
        <v>164.2</v>
      </c>
      <c r="D25" s="7" t="n">
        <v>339.2</v>
      </c>
      <c r="E25" s="7">
        <f>SUM(B25:D25)</f>
        <v/>
      </c>
    </row>
    <row r="26">
      <c r="A26" t="inlineStr">
        <is>
          <t>James Stovold</t>
        </is>
      </c>
      <c r="B26" s="7" t="n">
        <v>295.5</v>
      </c>
      <c r="C26" s="7" t="n">
        <v>164.2</v>
      </c>
      <c r="D26" s="7" t="n">
        <v>257.1</v>
      </c>
      <c r="E26" s="7">
        <f>SUM(B26:D26)</f>
        <v/>
      </c>
    </row>
    <row r="27">
      <c r="A27" t="inlineStr">
        <is>
          <t>James Walker</t>
        </is>
      </c>
      <c r="B27" s="7" t="n">
        <v>293.8666666666667</v>
      </c>
      <c r="C27" s="7" t="n">
        <v>508.2</v>
      </c>
      <c r="D27" s="7" t="n">
        <v>175</v>
      </c>
      <c r="E27" s="7">
        <f>SUM(B27:D27)</f>
        <v/>
      </c>
    </row>
    <row r="28">
      <c r="A28" t="inlineStr">
        <is>
          <t>Jen Beeston</t>
        </is>
      </c>
      <c r="B28" s="7" t="n">
        <v>275.7</v>
      </c>
      <c r="C28" s="7" t="n">
        <v>332.2</v>
      </c>
      <c r="D28" s="7" t="n">
        <v>667.5999999999999</v>
      </c>
      <c r="E28" s="7">
        <f>SUM(B28:D28)</f>
        <v/>
      </c>
    </row>
    <row r="29">
      <c r="A29" t="inlineStr">
        <is>
          <t>Jo Iacovides</t>
        </is>
      </c>
      <c r="B29" s="7" t="n">
        <v>281.7</v>
      </c>
      <c r="C29" s="7" t="n">
        <v>348.2</v>
      </c>
      <c r="D29" s="7" t="n">
        <v>339.2</v>
      </c>
      <c r="E29" s="7">
        <f>SUM(B29:D29)</f>
        <v/>
      </c>
    </row>
    <row r="30">
      <c r="A30" t="inlineStr">
        <is>
          <t>Joe Cutting</t>
        </is>
      </c>
      <c r="B30" s="7" t="n">
        <v>347.1</v>
      </c>
      <c r="C30" s="7" t="n">
        <v>228.2</v>
      </c>
      <c r="D30" s="7" t="n">
        <v>175</v>
      </c>
      <c r="E30" s="7">
        <f>SUM(B30:D30)</f>
        <v/>
      </c>
    </row>
    <row r="31">
      <c r="A31" t="inlineStr">
        <is>
          <t>John McDermid</t>
        </is>
      </c>
      <c r="B31" s="7" t="n">
        <v>0</v>
      </c>
      <c r="C31" s="7" t="n">
        <v>308.2</v>
      </c>
      <c r="D31" s="7" t="n">
        <v>257.1</v>
      </c>
      <c r="E31" s="7">
        <f>SUM(B31:D31)</f>
        <v/>
      </c>
    </row>
    <row r="32">
      <c r="A32" t="inlineStr">
        <is>
          <t>Katrina Attwood</t>
        </is>
      </c>
      <c r="B32" s="7" t="n">
        <v>406.6333333333333</v>
      </c>
      <c r="C32" s="7" t="n">
        <v>212.2</v>
      </c>
      <c r="D32" s="7" t="n">
        <v>503.4</v>
      </c>
      <c r="E32" s="7">
        <f>SUM(B32:D32)</f>
        <v/>
      </c>
    </row>
    <row r="33">
      <c r="A33" t="inlineStr">
        <is>
          <t>Kofi Appiah</t>
        </is>
      </c>
      <c r="B33" s="7" t="n">
        <v>427.8</v>
      </c>
      <c r="C33" s="7" t="n">
        <v>356.2</v>
      </c>
      <c r="D33" s="7" t="n">
        <v>421.3</v>
      </c>
      <c r="E33" s="7">
        <f>SUM(B33:D33)</f>
        <v/>
      </c>
    </row>
    <row r="34">
      <c r="A34" t="inlineStr">
        <is>
          <t>Kostas Barmpis</t>
        </is>
      </c>
      <c r="B34" s="7" t="n">
        <v>349</v>
      </c>
      <c r="C34" s="7" t="n">
        <v>220.2</v>
      </c>
      <c r="D34" s="7" t="n">
        <v>257.1</v>
      </c>
      <c r="E34" s="7">
        <f>SUM(B34:D34)</f>
        <v/>
      </c>
    </row>
    <row r="35">
      <c r="A35" t="inlineStr">
        <is>
          <t>Mark Nicholson</t>
        </is>
      </c>
      <c r="B35" s="7" t="n">
        <v>242.7</v>
      </c>
      <c r="C35" s="7" t="n">
        <v>227.36</v>
      </c>
      <c r="D35" s="7" t="n">
        <v>192.544</v>
      </c>
      <c r="E35" s="7">
        <f>SUM(B35:D35)</f>
        <v/>
      </c>
    </row>
    <row r="36">
      <c r="A36" t="inlineStr">
        <is>
          <t>Mark Sujan</t>
        </is>
      </c>
      <c r="B36" s="7" t="n">
        <v>47.4</v>
      </c>
      <c r="C36" s="7" t="n">
        <v>131.36</v>
      </c>
      <c r="D36" s="7" t="n">
        <v>140</v>
      </c>
      <c r="E36" s="7">
        <f>SUM(B36:D36)</f>
        <v/>
      </c>
    </row>
    <row r="37">
      <c r="A37" t="inlineStr">
        <is>
          <t>Mike Freeman</t>
        </is>
      </c>
      <c r="B37" s="7" t="n">
        <v>336.6333333333333</v>
      </c>
      <c r="C37" s="7" t="n">
        <v>164.2</v>
      </c>
      <c r="D37" s="7" t="n">
        <v>257.1</v>
      </c>
      <c r="E37" s="7">
        <f>SUM(B37:D37)</f>
        <v/>
      </c>
    </row>
    <row r="38">
      <c r="A38" t="inlineStr">
        <is>
          <t>Mike O'Dea</t>
        </is>
      </c>
      <c r="B38" s="7" t="n">
        <v>507.3</v>
      </c>
      <c r="C38" s="7" t="n">
        <v>164.2</v>
      </c>
      <c r="D38" s="7" t="n">
        <v>257.1</v>
      </c>
      <c r="E38" s="7">
        <f>SUM(B38:D38)</f>
        <v/>
      </c>
    </row>
    <row r="39">
      <c r="A39" t="inlineStr">
        <is>
          <t>Nick Pears</t>
        </is>
      </c>
      <c r="B39" s="7" t="n">
        <v>208.9333333333333</v>
      </c>
      <c r="C39" s="7" t="n">
        <v>428.2</v>
      </c>
      <c r="D39" s="7" t="n">
        <v>831.8000000000001</v>
      </c>
      <c r="E39" s="7">
        <f>SUM(B39:D39)</f>
        <v/>
      </c>
    </row>
    <row r="40">
      <c r="A40" t="inlineStr">
        <is>
          <t>Oleg Lisagor</t>
        </is>
      </c>
      <c r="B40" s="7" t="n">
        <v>304</v>
      </c>
      <c r="C40" s="7" t="n">
        <v>164.2</v>
      </c>
      <c r="D40" s="7" t="n">
        <v>257.1</v>
      </c>
      <c r="E40" s="7">
        <f>SUM(B40:D40)</f>
        <v/>
      </c>
    </row>
    <row r="41">
      <c r="A41" t="inlineStr">
        <is>
          <t>Paul Cairns</t>
        </is>
      </c>
      <c r="B41" s="7" t="n">
        <v>345.6333333333333</v>
      </c>
      <c r="C41" s="7" t="n">
        <v>684.2</v>
      </c>
      <c r="D41" s="7" t="n">
        <v>421.3</v>
      </c>
      <c r="E41" s="7">
        <f>SUM(B41:D41)</f>
        <v/>
      </c>
    </row>
    <row r="42">
      <c r="A42" t="inlineStr">
        <is>
          <t>Pedro Ribeiro</t>
        </is>
      </c>
      <c r="B42" s="7" t="n">
        <v>312.5</v>
      </c>
      <c r="C42" s="7" t="n">
        <v>316.2</v>
      </c>
      <c r="D42" s="7" t="n">
        <v>339.2</v>
      </c>
      <c r="E42" s="7">
        <f>SUM(B42:D42)</f>
        <v/>
      </c>
    </row>
    <row r="43">
      <c r="A43" t="inlineStr">
        <is>
          <t>Pengcheng Liu</t>
        </is>
      </c>
      <c r="B43" s="7" t="n">
        <v>312.3</v>
      </c>
      <c r="C43" s="7" t="n">
        <v>356.2</v>
      </c>
      <c r="D43" s="7" t="n">
        <v>618.34</v>
      </c>
      <c r="E43" s="7">
        <f>SUM(B43:D43)</f>
        <v/>
      </c>
    </row>
    <row r="44">
      <c r="A44" t="inlineStr">
        <is>
          <t>Peter Nightingale</t>
        </is>
      </c>
      <c r="B44" s="7" t="n">
        <v>430.4666666666666</v>
      </c>
      <c r="C44" s="7" t="n">
        <v>300.2</v>
      </c>
      <c r="D44" s="7" t="n">
        <v>339.2</v>
      </c>
      <c r="E44" s="7">
        <f>SUM(B44:D44)</f>
        <v/>
      </c>
    </row>
    <row r="45">
      <c r="A45" t="inlineStr">
        <is>
          <t>Poonam Yadav</t>
        </is>
      </c>
      <c r="B45" s="7" t="n">
        <v>426.9333333333333</v>
      </c>
      <c r="C45" s="7" t="n">
        <v>620.2</v>
      </c>
      <c r="D45" s="7" t="n">
        <v>339.2</v>
      </c>
      <c r="E45" s="7">
        <f>SUM(B45:D45)</f>
        <v/>
      </c>
    </row>
    <row r="46">
      <c r="A46" t="inlineStr">
        <is>
          <t>Pourya Shamsolmoali</t>
        </is>
      </c>
      <c r="B46" s="7" t="n">
        <v>452.55</v>
      </c>
      <c r="C46" s="7" t="n">
        <v>228.2</v>
      </c>
      <c r="D46" s="7" t="n">
        <v>298.15</v>
      </c>
      <c r="E46" s="7">
        <f>SUM(B46:D46)</f>
        <v/>
      </c>
    </row>
    <row r="47">
      <c r="A47" t="inlineStr">
        <is>
          <t>Radu Calinescu</t>
        </is>
      </c>
      <c r="B47" s="7" t="n">
        <v>131</v>
      </c>
      <c r="C47" s="7" t="n">
        <v>508.2</v>
      </c>
      <c r="D47" s="7" t="n">
        <v>207.84</v>
      </c>
      <c r="E47" s="7">
        <f>SUM(B47:D47)</f>
        <v/>
      </c>
    </row>
    <row r="48">
      <c r="A48" t="inlineStr">
        <is>
          <t>Richard Hawkins</t>
        </is>
      </c>
      <c r="B48" s="7" t="n">
        <v>354.4</v>
      </c>
      <c r="C48" s="7" t="n">
        <v>276.2</v>
      </c>
      <c r="D48" s="7" t="n">
        <v>421.3</v>
      </c>
      <c r="E48" s="7">
        <f>SUM(B48:D48)</f>
        <v/>
      </c>
    </row>
    <row r="49">
      <c r="A49" t="inlineStr">
        <is>
          <t>Richard Wilson</t>
        </is>
      </c>
      <c r="B49" s="7" t="n">
        <v>3</v>
      </c>
      <c r="C49" s="7" t="n">
        <v>450.52</v>
      </c>
      <c r="D49" s="7" t="n">
        <v>154.26</v>
      </c>
      <c r="E49" s="7">
        <f>SUM(B49:D49)</f>
        <v/>
      </c>
    </row>
    <row r="50">
      <c r="A50" t="inlineStr">
        <is>
          <t>Rob Alexander</t>
        </is>
      </c>
      <c r="B50" s="7" t="n">
        <v>380.9</v>
      </c>
      <c r="C50" s="7" t="n">
        <v>316.2</v>
      </c>
      <c r="D50" s="7" t="n">
        <v>240.68</v>
      </c>
      <c r="E50" s="7">
        <f>SUM(B50:D50)</f>
        <v/>
      </c>
    </row>
    <row r="51">
      <c r="A51" t="inlineStr">
        <is>
          <t>Roberto Metere</t>
        </is>
      </c>
      <c r="B51" s="7" t="n">
        <v>595.4833333333333</v>
      </c>
      <c r="C51" s="7" t="n">
        <v>268.2</v>
      </c>
      <c r="D51" s="7" t="n">
        <v>240.68</v>
      </c>
      <c r="E51" s="7">
        <f>SUM(B51:D51)</f>
        <v/>
      </c>
    </row>
    <row r="52">
      <c r="A52" t="inlineStr">
        <is>
          <t>Sam Braunstein</t>
        </is>
      </c>
      <c r="B52" s="7" t="n">
        <v>284.5833333333333</v>
      </c>
      <c r="C52" s="7" t="n">
        <v>164.2</v>
      </c>
      <c r="D52" s="7" t="n">
        <v>175</v>
      </c>
      <c r="E52" s="7">
        <f>SUM(B52:D52)</f>
        <v/>
      </c>
    </row>
    <row r="53">
      <c r="A53" t="inlineStr">
        <is>
          <t>Sarah Carrington</t>
        </is>
      </c>
      <c r="B53" s="7" t="n">
        <v>329.3</v>
      </c>
      <c r="C53" s="7" t="n">
        <v>131.36</v>
      </c>
      <c r="D53" s="7" t="n">
        <v>140</v>
      </c>
      <c r="E53" s="7">
        <f>SUM(B53:D53)</f>
        <v/>
      </c>
    </row>
    <row r="54">
      <c r="A54" t="inlineStr">
        <is>
          <t>Siamak Shahandashti</t>
        </is>
      </c>
      <c r="B54" s="7" t="n">
        <v>367.6666666666666</v>
      </c>
      <c r="C54" s="7" t="n">
        <v>396.2</v>
      </c>
      <c r="D54" s="7" t="n">
        <v>421.3</v>
      </c>
      <c r="E54" s="7">
        <f>SUM(B54:D54)</f>
        <v/>
      </c>
    </row>
    <row r="55">
      <c r="A55" t="inlineStr">
        <is>
          <t>Simon Burton</t>
        </is>
      </c>
      <c r="B55" s="7" t="n">
        <v>53.7</v>
      </c>
      <c r="C55" s="7" t="n">
        <v>348.2</v>
      </c>
      <c r="D55" s="7" t="n">
        <v>175</v>
      </c>
      <c r="E55" s="7">
        <f>SUM(B55:D55)</f>
        <v/>
      </c>
    </row>
    <row r="56">
      <c r="A56" t="inlineStr">
        <is>
          <t>Simon Foster</t>
        </is>
      </c>
      <c r="B56" s="7" t="n">
        <v>371.9166666666666</v>
      </c>
      <c r="C56" s="7" t="n">
        <v>276.2</v>
      </c>
      <c r="D56" s="7" t="n">
        <v>175</v>
      </c>
      <c r="E56" s="7">
        <f>SUM(B56:D56)</f>
        <v/>
      </c>
    </row>
    <row r="57">
      <c r="A57" t="inlineStr">
        <is>
          <t>Simos Gerasimou</t>
        </is>
      </c>
      <c r="B57" s="7" t="n">
        <v>0</v>
      </c>
      <c r="C57" s="7" t="n">
        <v>412.2</v>
      </c>
      <c r="D57" s="7" t="n">
        <v>207.84</v>
      </c>
      <c r="E57" s="7">
        <f>SUM(B57:D57)</f>
        <v/>
      </c>
    </row>
    <row r="58">
      <c r="A58" t="inlineStr">
        <is>
          <t>Soumya Banerjee</t>
        </is>
      </c>
      <c r="B58" s="7" t="n">
        <v>304.4333333333333</v>
      </c>
      <c r="C58" s="7" t="n">
        <v>164.2</v>
      </c>
      <c r="D58" s="7" t="n">
        <v>339.2</v>
      </c>
      <c r="E58" s="7">
        <f>SUM(B58:D58)</f>
        <v/>
      </c>
    </row>
    <row r="59">
      <c r="A59" t="inlineStr">
        <is>
          <t>Stefano Pirandola</t>
        </is>
      </c>
      <c r="B59" s="7" t="n">
        <v>258.55</v>
      </c>
      <c r="C59" s="7" t="n">
        <v>356.2</v>
      </c>
      <c r="D59" s="7" t="n">
        <v>503.4</v>
      </c>
      <c r="E59" s="7">
        <f>SUM(B59:D59)</f>
        <v/>
      </c>
    </row>
    <row r="60">
      <c r="A60" t="inlineStr">
        <is>
          <t>Steven Wright</t>
        </is>
      </c>
      <c r="B60" s="7" t="n">
        <v>234</v>
      </c>
      <c r="C60" s="7" t="n">
        <v>452.2</v>
      </c>
      <c r="D60" s="7" t="n">
        <v>667.5999999999999</v>
      </c>
      <c r="E60" s="7">
        <f>SUM(B60:D60)</f>
        <v/>
      </c>
    </row>
    <row r="61">
      <c r="A61" t="inlineStr">
        <is>
          <t>Steven Xiaotian Dai</t>
        </is>
      </c>
      <c r="B61" s="7" t="n">
        <v>368.8</v>
      </c>
      <c r="C61" s="7" t="n">
        <v>268.2</v>
      </c>
      <c r="D61" s="7" t="n">
        <v>503.4</v>
      </c>
      <c r="E61" s="7">
        <f>SUM(B61:D61)</f>
        <v/>
      </c>
    </row>
    <row r="62">
      <c r="A62" t="inlineStr">
        <is>
          <t>Tommy Yuan</t>
        </is>
      </c>
      <c r="B62" s="7" t="n">
        <v>544.2666666666667</v>
      </c>
      <c r="C62" s="7" t="n">
        <v>364.2</v>
      </c>
      <c r="D62" s="7" t="n">
        <v>569.08</v>
      </c>
      <c r="E62" s="7">
        <f>SUM(B62:D62)</f>
        <v/>
      </c>
    </row>
    <row r="63">
      <c r="A63" t="inlineStr">
        <is>
          <t>Vasileios Vasilakis</t>
        </is>
      </c>
      <c r="B63" s="7" t="n">
        <v>384.5</v>
      </c>
      <c r="C63" s="7" t="n">
        <v>356.2</v>
      </c>
      <c r="D63" s="7" t="n">
        <v>339.2</v>
      </c>
      <c r="E63" s="7">
        <f>SUM(B63:D63)</f>
        <v/>
      </c>
    </row>
    <row r="64">
      <c r="A64" t="inlineStr">
        <is>
          <t>William Smith</t>
        </is>
      </c>
      <c r="B64" s="7" t="n">
        <v>367.7666666666667</v>
      </c>
      <c r="C64" s="7" t="n">
        <v>676.2</v>
      </c>
      <c r="D64" s="7" t="n">
        <v>380.25</v>
      </c>
      <c r="E64" s="7">
        <f>SUM(B64:D64)</f>
        <v/>
      </c>
    </row>
    <row r="65">
      <c r="A65" t="inlineStr">
        <is>
          <t>Xinwei Fang</t>
        </is>
      </c>
      <c r="B65" s="7" t="n">
        <v>391.8</v>
      </c>
      <c r="C65" s="7" t="n">
        <v>244.2</v>
      </c>
      <c r="D65" s="7" t="n">
        <v>257.1</v>
      </c>
      <c r="E65" s="7">
        <f>SUM(B65:D65)</f>
        <v/>
      </c>
    </row>
    <row r="66">
      <c r="A66" t="inlineStr">
        <is>
          <t>Yan Jia</t>
        </is>
      </c>
      <c r="B66" s="7" t="n">
        <v>91</v>
      </c>
      <c r="C66" s="7" t="n">
        <v>228.2</v>
      </c>
      <c r="D66" s="7" t="n">
        <v>503.4</v>
      </c>
      <c r="E66" s="7">
        <f>SUM(B66:D66)</f>
        <v/>
      </c>
    </row>
    <row r="67">
      <c r="A67" t="inlineStr">
        <is>
          <t>Yuchen Zhao</t>
        </is>
      </c>
      <c r="B67" s="7" t="n">
        <v>403.2</v>
      </c>
      <c r="C67" s="7" t="n">
        <v>180.2</v>
      </c>
      <c r="D67" s="7" t="n">
        <v>257.1</v>
      </c>
      <c r="E67" s="7">
        <f>SUM(B67:D67)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2026-09-11T07:00:36Z</dcterms:created>
  <dcterms:modified xmlns:dcterms="http://purl.org/dc/terms/" xmlns:xsi="http://www.w3.org/2001/XMLSchema-instance" xsi:type="dcterms:W3CDTF">2026-09-11T07:00:36Z</dcterms:modified>
</cp:coreProperties>
</file>