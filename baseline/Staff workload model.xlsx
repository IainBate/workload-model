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Workload'!$D$2:$D$56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Workload'!$E$2:$E$56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Workload'!$F$2:$F$56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Breakdown'!$B$2:$B$56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Breakdown'!$C$2:$C$56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Breakdown'!$D$2:$D$56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Adrian Bors</t>
        </is>
      </c>
      <c r="B2" s="2" t="n">
        <v>1</v>
      </c>
      <c r="C2" s="3" t="n">
        <v>961.6</v>
      </c>
      <c r="D2" s="3" t="n">
        <v>292.3</v>
      </c>
      <c r="E2" s="3" t="n">
        <v>412.2</v>
      </c>
      <c r="F2" s="3" t="n">
        <v>257.1</v>
      </c>
      <c r="G2" s="4" t="inlineStr">
        <is>
          <t>NLPG (20cr): Standard (2.5x): 9.0h/teacher @ 2.5x = 22.5h;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Module had 0 students - marking not calculated</t>
        </is>
      </c>
      <c r="K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1236.015</v>
      </c>
      <c r="D3" s="3" t="n">
        <v>288.415</v>
      </c>
      <c r="E3" s="3" t="n">
        <v>444.2</v>
      </c>
      <c r="F3" s="3" t="n">
        <v>503.4</v>
      </c>
      <c r="G3" s="4" t="inlineStr">
        <is>
          <t>IDEV (20cr): Standard (2.5x): 9.0h/teacher @ 2.5x = 22.5h; Assessment setting: 4 paper(s) set (2 assessment(s), manual): 15.0h each (7.5h main + 7.5h resit); 10 scripts + 2 resits (assuming 20% of students resit) x 0.330h = 4.0h total (3.3h initial + 0.7h resit), 2.0h per teacher; PLEI (20cr): Standard (2.5x): 9.0h/teacher @ 2.5x = 22.5h; Assessment setting: 4 paper(s) set (2 assessment(s), manual): 15.0h each (7.5h main + 7.5h resit); 33 scripts + 6 resits (assuming 20% of students resit) x 0.330h = 12.9h total (10.9h initial + 2.0h resit), 6.4h per teacher; Project setting (fixed): 6.0h;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Module had 0 students - marking not calculated</t>
        </is>
      </c>
      <c r="K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799.6166666666667</v>
      </c>
      <c r="D4" s="3" t="n">
        <v>192.2166666666667</v>
      </c>
      <c r="E4" s="3" t="n">
        <v>268.2</v>
      </c>
      <c r="F4" s="3" t="n">
        <v>339.2</v>
      </c>
      <c r="G4" s="4" t="inlineStr">
        <is>
          <t>AURO (20cr): Standard (2.5x): 6.0h/teacher @ 2.5x = 15.0h; Assessment setting: 2 paper(s) set (1 assessment(s), manual): 15.0h each (2.5h main + 2.5h resit); 104 scripts + 20 resits (assuming 20% of students resit) x 0.330h = 40.9h total (34.3h initial + 6.6h resit), 13.6h per teacher; 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Project setting (fixed): 6.0h;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</row>
    <row r="5">
      <c r="A5" s="2" t="inlineStr">
        <is>
          <t>Andrew Pomfret</t>
        </is>
      </c>
      <c r="B5" s="2" t="n">
        <v>1</v>
      </c>
      <c r="C5" s="3" t="n">
        <v>718.4433333333334</v>
      </c>
      <c r="D5" s="3" t="n">
        <v>297.1433333333333</v>
      </c>
      <c r="E5" s="3" t="n">
        <v>164.2</v>
      </c>
      <c r="F5" s="3" t="n">
        <v>257.1</v>
      </c>
      <c r="G5" s="4" t="inlineStr">
        <is>
          <t>SYS1 (20cr): Standard (2.5x): 6.0h/teacher @ 2.5x = 15.0h; Assessment setting: 2 paper(s) set (1 assessment(s), manual): 15.0h each (2.5h main + 2.5h resit); 283 scripts + 56 resits (assuming 20% of students resit) x 0.330h = 111.9h total (93.4h initial + 18.5h resit), 37.3h per teacher; SYS2 (20cr): Standard (2.5x): 5.3h/teacher @ 2.5x = 13.3h; Assessment setting: 2 paper(s) set (1 assessment(s), manual): 15.0h each (2.5h main + 2.5h resit); 277 scripts + 55 resits (assuming 20% of students resit) x 0.330h = 109.6h total (91.4h initial + 18.2h resit), 36.5h per teacher; Project setting (fixed): 6.0h; Pastoral: 11 students x 3h = 33.0h; Projects: 9 projects x UG (16h) = 144.0h</t>
        </is>
      </c>
      <c r="H5" s="4" t="inlineStr">
        <is>
          <t>No research activities recorded</t>
        </is>
      </c>
      <c r="I5" s="4" t="inlineStr">
        <is>
          <t>Academic Admissions Team: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</row>
    <row r="6">
      <c r="A6" s="2" t="inlineStr">
        <is>
          <t>Antonio Garcia-Dominguez</t>
        </is>
      </c>
      <c r="B6" s="2" t="n">
        <v>1</v>
      </c>
      <c r="C6" s="3" t="n">
        <v>988.7200000000001</v>
      </c>
      <c r="D6" s="3" t="n">
        <v>169.12</v>
      </c>
      <c r="E6" s="3" t="n">
        <v>644.6000000000001</v>
      </c>
      <c r="F6" s="3" t="n">
        <v>175</v>
      </c>
      <c r="G6" s="4" t="inlineStr">
        <is>
          <t>ELLA (20cr): Standard (2.5x): 6.0h/teacher @ 2.5x = 15.0h; Assessment setting: 2 paper(s) set (1 assessment(s), manual): 15.0h each (2.5h main + 2.5h resit); 100 scripts + 20 resits (assuming 20% of students resit) x 0.330h = 39.6h total (33.0h initial + 6.6h resit), 13.2h per teacher; ENG2 (20cr): Standard (2.5x): 6.0h/teacher @ 2.5x = 15.0h; Assessment setting: 2 paper(s) set (1 assessment(s), manual): 15.0h each (2.5h main + 2.5h resit); 60 scripts + 12 resits (assuming 20% of students resit) x 0.330h = 23.8h total (19.8h initial + 4.0h resit), 7.9h per teacher; Project setting (fixed): 6.0h; Pastoral: 12 students x 3h = 36.0h; Projects: 4 projects x UG (16h) = 64.0h</t>
        </is>
      </c>
      <c r="H6" s="4" t="inlineStr">
        <is>
          <t>PhD supervision: 3x part-time PhD student × 48h/FTE; 1x assessor (8h each) = 152.0h; Grant MOSAICO: 10% of 1642h = 164.2h; Grant SCHEME: 10% of 1642h = 164.2h</t>
        </is>
      </c>
      <c r="I6" s="4" t="inlineStr">
        <is>
          <t>Engagement (email/meetings): 100.0h; Personal development: 75.0h (FTE: 1.00)</t>
        </is>
      </c>
      <c r="J6" s="5" t="inlineStr">
        <is>
          <t>Module had 0 students - marking not calculated; Module had 0 students - marking not calculated</t>
        </is>
      </c>
      <c r="K6" s="5" t="inlineStr">
        <is>
          <t>No administrative roles assigned</t>
        </is>
      </c>
    </row>
    <row r="7">
      <c r="A7" s="2" t="inlineStr">
        <is>
          <t>Carlo Ottaviani</t>
        </is>
      </c>
      <c r="B7" s="2" t="n">
        <v>1</v>
      </c>
      <c r="C7" s="3" t="n">
        <v>877.7816666666668</v>
      </c>
      <c r="D7" s="3" t="n">
        <v>270.3816666666667</v>
      </c>
      <c r="E7" s="3" t="n">
        <v>268.2</v>
      </c>
      <c r="F7" s="3" t="n">
        <v>339.2</v>
      </c>
      <c r="G7" s="4" t="inlineStr">
        <is>
          <t>CTAP (20cr): Standard (2.5x): 5.7h/teacher @ 2.5x = 14.2h; Assessment setting: 2 paper(s) set (1 assessment(s), manual): 15.0h each (2.5h main + 2.5h resit); 89 scripts + 17 resits (assuming 20% of students resit) x 0.330h = 35.0h total (29.4h initial + 5.6h resit), 11.7h per teacher; PRAD (20cr): Standard (2.5x): 9.0h/teacher @ 2.5x = 22.5h; Assessment setting: 2 paper(s) set (1 assessment(s), manual): 15.0h each (3.8h main + 3.8h resit); 56 scripts + 11 resits (assuming 20% of students resit) x 0.330h = 22.1h total (18.5h initial + 3.6h resit), 11.1h per teacher; Project setting (fixed): 6.0h; Pastoral: 26 students x 3h = 78.0h; Projects: 7 projects x UG (16h) = 112.0h</t>
        </is>
      </c>
      <c r="H7" s="4" t="inlineStr">
        <is>
          <t>PhD supervision: 1x full-time PhD student × 80h/FTE; 3x assessor (8h each) = 104.0h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</row>
    <row r="8">
      <c r="A8" s="2" t="inlineStr">
        <is>
          <t>Christopher Crispin-Bailey</t>
        </is>
      </c>
      <c r="B8" s="2" t="n">
        <v>1</v>
      </c>
      <c r="C8" s="3" t="n">
        <v>917.2033333333334</v>
      </c>
      <c r="D8" s="3" t="n">
        <v>290.6533333333333</v>
      </c>
      <c r="E8" s="3" t="n">
        <v>164.2</v>
      </c>
      <c r="F8" s="3" t="n">
        <v>462.35</v>
      </c>
      <c r="G8" s="4" t="inlineStr">
        <is>
          <t>SYS2 (20cr): Standard (2.5x): 5.3h/teacher @ 2.5x = 13.3h; Assessment setting: 2 paper(s) set (1 assessment(s), manual): 15.0h each (2.5h main + 2.5h resit); 277 scripts + 55 resits (assuming 20% of students resit) x 0.330h = 109.6h total (91.4h initial + 18.2h resit), 36.5h per teacher; SYS3 (20cr): Standard (2.5x): 6.0h/teacher @ 2.5x = 15.0h; Assessment setting: 2 paper(s) set (1 assessment(s), manual): 15.0h each (2.5h main + 2.5h resit); 275 scripts + 55 resits (assuming 20% of students resit) x 0.330h = 108.9h total (90.8h initial + 18.2h resit), 36.3h per teacher; Project setting (fixed): 6.0h; Pastoral: 19 students x 3h = 57.0h; Projects: 7 projects x UG (16h) = 112.0h</t>
        </is>
      </c>
      <c r="H8" s="4" t="inlineStr">
        <is>
          <t>No research activities recorded</t>
        </is>
      </c>
      <c r="I8" s="4" t="inlineStr">
        <is>
          <t>GTA Coordinator: 10% of 1642h = 164.2h; Union: 8% of 1642h = 123.1h;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</row>
    <row r="9">
      <c r="A9" s="2" t="inlineStr">
        <is>
          <t>Claire Ingram</t>
        </is>
      </c>
      <c r="B9" s="2" t="n">
        <v>1</v>
      </c>
      <c r="C9" s="3" t="n">
        <v>633.1849999999999</v>
      </c>
      <c r="D9" s="3" t="n">
        <v>211.885</v>
      </c>
      <c r="E9" s="3" t="n">
        <v>164.2</v>
      </c>
      <c r="F9" s="3" t="n">
        <v>257.1</v>
      </c>
      <c r="G9" s="4" t="inlineStr">
        <is>
          <t>HINT (20cr): Standard (2.5x): 9.0h/teacher @ 2.5x = 22.5h; Assessment setting: 2 paper(s) set (1 assessment(s), manual): 15.0h each (3.8h main + 3.8h resit); 58 scripts + 11 resits (assuming 20% of students resit) x 0.330h = 22.8h total (19.1h initial + 3.6h resit), 11.4h per teacher; Project setting (fixed): 6.0h; Pastoral: 1 students x 3h = 3.0h; Projects: 10 projects x UG (16h) = 160.0h</t>
        </is>
      </c>
      <c r="H9" s="4" t="inlineStr">
        <is>
          <t>No research activities recorded</t>
        </is>
      </c>
      <c r="I9" s="4" t="inlineStr">
        <is>
          <t>Outreach and Extra-Curricular Activities: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</row>
    <row r="10">
      <c r="A10" s="2" t="inlineStr">
        <is>
          <t>Claudio Guarnera</t>
        </is>
      </c>
      <c r="B10" s="2" t="n">
        <v>1</v>
      </c>
      <c r="C10" s="3" t="n">
        <v>602.24</v>
      </c>
      <c r="D10" s="3" t="n">
        <v>151.04</v>
      </c>
      <c r="E10" s="3" t="n">
        <v>276.2</v>
      </c>
      <c r="F10" s="3" t="n">
        <v>175</v>
      </c>
      <c r="G10" s="4" t="inlineStr">
        <is>
          <t>IMLO (20cr): Standard (2.5x): 6.0h/teacher @ 2.5x = 15.0h; Assessment setting: 4 paper(s) set (2 assessment(s), manual): 15.0h each (5.0h main + 5.0h resit); 304 scripts + 60 resits (assuming 20% of students resit) x 0.330h = 120.1h total (100.3h initial + 19.8h resit), 40.0h per teacher; Project setting (fixed): 6.0h; Pastoral: 10 students x 3h = 30.0h; Projects: 3 projects x UG (16h) = 48.0h</t>
        </is>
      </c>
      <c r="H10" s="4" t="inlineStr">
        <is>
          <t>PhD supervision: 2x part-time PhD student × 48h/FTE; 2x assessor (8h each) = 112.0h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</row>
    <row r="11">
      <c r="A11" s="2" t="inlineStr">
        <is>
          <t>Colin Paterson</t>
        </is>
      </c>
      <c r="B11" s="2" t="n">
        <v>1</v>
      </c>
      <c r="C11" s="3" t="n">
        <v>983.5599999999999</v>
      </c>
      <c r="D11" s="3" t="n">
        <v>228.8</v>
      </c>
      <c r="E11" s="3" t="n">
        <v>579.76</v>
      </c>
      <c r="F11" s="3" t="n">
        <v>175</v>
      </c>
      <c r="G11" s="4" t="inlineStr">
        <is>
          <t>LPTC (20cr): Standard (2.5x): 10.0h/teacher @ 2.5x = 25.0h; Assessment setting: 2 paper(s) set (1 assessment(s), manual): 15.0h each (3.8h main + 3.8h resit); 100 scripts + 20 resits (assuming 20% of students resit) x 0.330h = 39.6h total (33.0h initial + 6.6h resit), 19.8h per teacher; Project setting (fixed): 6.0h; Pastoral: 19 students x 3h = 57.0h; Projects: 7 projects x UG (16h) = 112.0h; Also teaches: Designing Safe AI (Safe AI 2) (SAINTS - not included in workload)</t>
        </is>
      </c>
      <c r="H11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1" s="4" t="inlineStr">
        <is>
          <t>Engagement (email/meetings): 100.0h; Personal development: 75.0h (FTE: 1.00)</t>
        </is>
      </c>
      <c r="J11" s="5" t="inlineStr">
        <is>
          <t>Module had 0 students - marking not calculated</t>
        </is>
      </c>
      <c r="K11" s="5" t="inlineStr">
        <is>
          <t>No administrative roles assigned</t>
        </is>
      </c>
    </row>
    <row r="12">
      <c r="A12" s="2" t="inlineStr">
        <is>
          <t>Da Li</t>
        </is>
      </c>
      <c r="B12" s="2" t="n">
        <v>1</v>
      </c>
      <c r="C12" s="3" t="n">
        <v>607</v>
      </c>
      <c r="D12" s="3" t="n">
        <v>267.8</v>
      </c>
      <c r="E12" s="3" t="n">
        <v>164.2</v>
      </c>
      <c r="F12" s="3" t="n">
        <v>175</v>
      </c>
      <c r="G12" s="4" t="inlineStr">
        <is>
          <t>SYS3 (20cr): New lecturer (5x): 6.0h base @ 2.5x + content dev = 30h; Assessment setting: 2 paper(s) set (1 assessment(s), manual): 15.0h each (2.5h main + 2.5h resit); 275 scripts + 55 resits (assuming 20% of students resit) x 0.330h = 108.9h total (90.8h initial + 18.2h resit), 36.3h per teacher; Project setting (fixed): 6.0h; Pastoral: 25 students x 3h = 75.0h; Projects: 7 projects x UG (16h) = 112.0h</t>
        </is>
      </c>
      <c r="H12" s="4" t="inlineStr">
        <is>
          <t>No research activities recorded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</t>
        </is>
      </c>
    </row>
    <row r="13">
      <c r="A13" s="2" t="inlineStr">
        <is>
          <t>Dawn H Wood</t>
        </is>
      </c>
      <c r="B13" s="2" t="n">
        <v>1</v>
      </c>
      <c r="C13" s="3" t="n">
        <v>663.3833333333333</v>
      </c>
      <c r="D13" s="3" t="n">
        <v>324.1833333333333</v>
      </c>
      <c r="E13" s="3" t="n">
        <v>164.2</v>
      </c>
      <c r="F13" s="3" t="n">
        <v>175</v>
      </c>
      <c r="G13" s="4" t="inlineStr">
        <is>
          <t>SOF1 (20cr): Standard (2.5x): 6.0h/teacher @ 2.5x = 15.0h; Assessment setting: 2 paper(s) set (1 assessment(s), manual): 15.0h each (2.5h main + 2.5h resit); 327 scripts + 65 resits (assuming 20% of students resit) x 0.330h = 129.4h total (107.9h initial + 21.4h resit), 43.1h per teacher; SOF2 (20cr): Standard (2.5x): 6.3h/teacher @ 2.5x = 15.8h; Assessment setting: 4 paper(s) set (2 assessment(s), manual): 15.0h each (5.0h main + 5.0h resit); 328 scripts + 65 resits (assuming 20% of students resit) x 0.330h = 129.7h total (108.2h initial + 21.4h resit), 43.2h per teacher; Project setting (fixed): 6.0h;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</row>
    <row r="14">
      <c r="A14" s="2" t="inlineStr">
        <is>
          <t>Detlef Plump</t>
        </is>
      </c>
      <c r="B14" s="2" t="n">
        <v>1</v>
      </c>
      <c r="C14" s="3" t="n">
        <v>1078.26</v>
      </c>
      <c r="D14" s="3" t="n">
        <v>314.66</v>
      </c>
      <c r="E14" s="3" t="n">
        <v>260.2</v>
      </c>
      <c r="F14" s="3" t="n">
        <v>503.4</v>
      </c>
      <c r="G14" s="4" t="inlineStr">
        <is>
          <t>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THE3 (20cr): Standard (2.5x): 6.3h/teacher @ 2.5x = 15.8h; Assessment setting: 4 paper(s) set (2 assessment(s), manual): 15.0h each (5.0h main + 5.0h resit); 313 scripts + 62 resits (assuming 20% of students resit) x 0.330h = 123.8h total (103.3h initial + 20.5h resit), 41.2h per teacher; Project setting (fixed): 6.0h; Pastoral: 21 students x 3h = 63.0h; Projects: 7 projects x UG (16h) = 112.0h</t>
        </is>
      </c>
      <c r="H14" s="4" t="inlineStr">
        <is>
          <t>PhD supervision: 1x full-time PhD student × 80h/FTE; 2x assessor (8h each) = 96.0h</t>
        </is>
      </c>
      <c r="I14" s="4" t="inlineStr">
        <is>
          <t>EC Officer (on-campus): 15% of 1642h = 246.3h; Other PLs: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</row>
    <row r="15">
      <c r="A15" s="2" t="inlineStr">
        <is>
          <t>Dimitar Kazakov</t>
        </is>
      </c>
      <c r="B15" s="2" t="n">
        <v>1</v>
      </c>
      <c r="C15" s="3" t="n">
        <v>1203.7</v>
      </c>
      <c r="D15" s="3" t="n">
        <v>244.3</v>
      </c>
      <c r="E15" s="3" t="n">
        <v>620.2</v>
      </c>
      <c r="F15" s="3" t="n">
        <v>339.2</v>
      </c>
      <c r="G15" s="4" t="inlineStr">
        <is>
          <t>NLPG (20cr): Standard (2.5x): 9.0h/teacher @ 2.5x = 22.5h;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7 projects x UG (16h) = 112.0h</t>
        </is>
      </c>
      <c r="H15" s="4" t="inlineStr">
        <is>
          <t>PhD supervision: 5x full-time PhD student × 80h/FTE; 1x part-time PhD student × 48h/FTE; 1x assessor (8h each) = 456.0h</t>
        </is>
      </c>
      <c r="I15" s="4" t="inlineStr">
        <is>
          <t>Ethics Committee Member: 10% of 1642h = 164.2h; Engagement (email/meetings): 100.0h; Personal development: 75.0h (FTE: 1.00)</t>
        </is>
      </c>
      <c r="J15" s="5" t="inlineStr">
        <is>
          <t>Module had 0 students - marking not calculated</t>
        </is>
      </c>
      <c r="K15" s="5" t="inlineStr">
        <is>
          <t>None</t>
        </is>
      </c>
    </row>
    <row r="16">
      <c r="A16" s="2" t="inlineStr">
        <is>
          <t>Dimitris Kolovos</t>
        </is>
      </c>
      <c r="B16" s="2" t="n">
        <v>1</v>
      </c>
      <c r="C16" s="3" t="n">
        <v>1318.82</v>
      </c>
      <c r="D16" s="3" t="n">
        <v>28.92</v>
      </c>
      <c r="E16" s="3" t="n">
        <v>1114.9</v>
      </c>
      <c r="F16" s="3" t="n">
        <v>175</v>
      </c>
      <c r="G16" s="4" t="inlineStr">
        <is>
          <t>ENG2 (20cr): Standard (2.5x): 6.0h/teacher @ 2.5x = 15.0h; Assessment setting: 2 paper(s) set (1 assessment(s), manual): 15.0h each (2.5h main + 2.5h resit); 60 scripts + 12 resits (assuming 20% of students resit) x 0.330h = 23.8h total (19.8h initial + 4.0h resit), 7.9h per teacher</t>
        </is>
      </c>
      <c r="H16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6" s="4" t="inlineStr">
        <is>
          <t>Engagement (email/meetings): 100.0h; Personal development: 75.0h (FTE: 1.00)</t>
        </is>
      </c>
      <c r="J16" s="5" t="inlineStr">
        <is>
          <t>Module had 0 students - marking not calculated</t>
        </is>
      </c>
      <c r="K16" s="5" t="inlineStr">
        <is>
          <t>No administrative roles assigned</t>
        </is>
      </c>
    </row>
    <row r="17">
      <c r="A17" s="2" t="inlineStr">
        <is>
          <t>Fang Yan</t>
        </is>
      </c>
      <c r="B17" s="2" t="n">
        <v>1</v>
      </c>
      <c r="C17" s="3" t="n">
        <v>580.0133333333333</v>
      </c>
      <c r="D17" s="3" t="n">
        <v>240.8133333333333</v>
      </c>
      <c r="E17" s="3" t="n">
        <v>164.2</v>
      </c>
      <c r="F17" s="3" t="n">
        <v>175</v>
      </c>
      <c r="G17" s="4" t="inlineStr">
        <is>
          <t>SOF2 (20cr): New lecturer (5x): 6.3h base @ 2.5x + content dev = 32h; Assessment setting: 4 paper(s) set (2 assessment(s), manual): 15.0h each (5.0h main + 5.0h resit); 328 scripts + 65 resits (assuming 20% of students resit) x 0.330h = 129.7h total (108.2h initial + 21.4h resit), 43.2h per teacher; THE3 (20cr): New lecturer (5x): 6.3h base @ 2.5x + content dev = 32h; Assessment setting: 4 paper(s) set (2 assessment(s), manual): 15.0h each (5.0h main + 5.0h resit); 313 scripts + 62 resits (assuming 20% of students resit) x 0.330h = 123.8h total (103.3h initial + 20.5h resit), 41.2h per teacher; Project setting (fixed): 6.0h; Pastoral: 7 students x 3h = 21.0h; Projects: 2 projects x UG (16h) = 32.0h; Also teaches: Designing Safe AI (Safe AI 2), Foundations of Safe AI (Safe AI 1) (SAINTS - not included in workload)</t>
        </is>
      </c>
      <c r="H17" s="4" t="inlineStr">
        <is>
          <t>No research activities recorded</t>
        </is>
      </c>
      <c r="I17" s="4" t="inlineStr">
        <is>
          <t>Engagement (email/meetings): 100.0h; Personal development: 75.0h (FTE: 1.00)</t>
        </is>
      </c>
      <c r="J17" s="5" t="inlineStr">
        <is>
          <t>None</t>
        </is>
      </c>
      <c r="K17" s="5" t="inlineStr">
        <is>
          <t>No administrative roles assigned</t>
        </is>
      </c>
    </row>
    <row r="18">
      <c r="A18" s="2" t="inlineStr">
        <is>
          <t>Felix Ulrich-Oltean</t>
        </is>
      </c>
      <c r="B18" s="2" t="n">
        <v>1</v>
      </c>
      <c r="C18" s="3" t="n">
        <v>425.63</v>
      </c>
      <c r="D18" s="3" t="n">
        <v>38.43</v>
      </c>
      <c r="E18" s="3" t="n">
        <v>212.2</v>
      </c>
      <c r="F18" s="3" t="n">
        <v>175</v>
      </c>
      <c r="G18" s="4" t="inlineStr">
        <is>
          <t>SAIL (20cr): Standard (2.5x): 9.0h/teacher @ 2.5x = 22.5h; Assessment setting: 2 paper(s) set (1 assessment(s), manual): 15.0h each (3.8h main + 3.8h resit); 35 scripts + 7 resits (assuming 20% of students resit) x 0.330h = 13.9h total (11.6h initial + 2.3h resit), 6.9h per teacher</t>
        </is>
      </c>
      <c r="H18" s="4" t="inlineStr">
        <is>
          <t>PhD supervision: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</row>
    <row r="19">
      <c r="A19" s="2" t="inlineStr">
        <is>
          <t>Frank Soboczenski</t>
        </is>
      </c>
      <c r="B19" s="2" t="n">
        <v>1</v>
      </c>
      <c r="C19" s="3" t="n">
        <v>2102.82</v>
      </c>
      <c r="D19" s="3" t="n">
        <v>51.3</v>
      </c>
      <c r="E19" s="3" t="n">
        <v>1794.42</v>
      </c>
      <c r="F19" s="3" t="n">
        <v>257.1</v>
      </c>
      <c r="G19" s="4" t="inlineStr">
        <is>
          <t>LLMA (20cr): Standard (2.5x): 9.0h/teacher @ 2.5x = 22.5h; Assessment setting: 2 paper(s) set (1 assessment(s), manual): 15.0h each (3.8h main + 3.8h resit); 100 scripts + 20 resits (assuming 20% of students resit) x 0.330h = 39.6h total (33.0h initial + 6.6h resit), 19.8h per teacher; Also teaches: Artificial Intelligence (AI) (SAINTS - not included in workload)</t>
        </is>
      </c>
      <c r="H19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9" s="4" t="inlineStr">
        <is>
          <t>Academic Admissions Team: 5% of 1642h = 82.1h; Engagement (email/meetings): 100.0h; Personal development: 75.0h (FTE: 1.00)</t>
        </is>
      </c>
      <c r="J19" s="5" t="inlineStr">
        <is>
          <t>Module had 0 students - marking not calculated</t>
        </is>
      </c>
      <c r="K19" s="5" t="inlineStr">
        <is>
          <t>None</t>
        </is>
      </c>
    </row>
    <row r="20">
      <c r="A20" s="2" t="inlineStr">
        <is>
          <t>Iain Bate</t>
        </is>
      </c>
      <c r="B20" s="2" t="n">
        <v>1</v>
      </c>
      <c r="C20" s="3" t="n">
        <v>2435.6</v>
      </c>
      <c r="D20" s="3" t="n">
        <v>30</v>
      </c>
      <c r="E20" s="3" t="n">
        <v>588.6</v>
      </c>
      <c r="F20" s="3" t="n">
        <v>1817</v>
      </c>
      <c r="G20" s="4" t="inlineStr">
        <is>
          <t>Minimum administrative teaching load (from workload_parameters.yaml): 30h</t>
        </is>
      </c>
      <c r="H20" s="4" t="inlineStr">
        <is>
          <t>PhD supervision: 1x full-time PhD student × 80h/FTE; 2x assessor (8h each) = 96.0h; Grant SCHEME: 20% of 1642h = 328.4h</t>
        </is>
      </c>
      <c r="I20" s="4" t="inlineStr">
        <is>
          <t>Head of Department: 100% of 1642h = 1642.0h;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</row>
    <row r="21">
      <c r="A21" s="2" t="inlineStr">
        <is>
          <t>Ian Gray</t>
        </is>
      </c>
      <c r="B21" s="2" t="n">
        <v>1</v>
      </c>
      <c r="C21" s="3" t="n">
        <v>1384.61</v>
      </c>
      <c r="D21" s="3" t="n">
        <v>40.41</v>
      </c>
      <c r="E21" s="3" t="n">
        <v>348.2</v>
      </c>
      <c r="F21" s="3" t="n">
        <v>996</v>
      </c>
      <c r="G21" s="4" t="inlineStr">
        <is>
          <t>EMBS (20cr): Standard (2.5x): 9.0h/teacher @ 2.5x = 22.5h; Assessment setting: 2 paper(s) set (1 assessment(s), manual): 15.0h each (3.8h main + 3.8h resit); 45 scripts + 9 resits (assuming 20% of students resit) x 0.330h = 17.8h total (14.9h initial + 3.0h resit), 8.9h per teacher</t>
        </is>
      </c>
      <c r="H21" s="4" t="inlineStr">
        <is>
          <t>PhD supervision: 1x full-time PhD student × 80h/FTE; 2x part-time PhD student × 48h/FTE; 1x assessor (8h each) = 184.0h</t>
        </is>
      </c>
      <c r="I21" s="4" t="inlineStr">
        <is>
          <t>Deputy Head of Department (On-campus teaching): 50% of 1642h = 821.0h;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</row>
    <row r="22">
      <c r="A22" s="2" t="inlineStr">
        <is>
          <t>Jacob Rigby</t>
        </is>
      </c>
      <c r="B22" s="2" t="n">
        <v>1</v>
      </c>
      <c r="C22" s="3" t="n">
        <v>917.28</v>
      </c>
      <c r="D22" s="3" t="n">
        <v>331.78</v>
      </c>
      <c r="E22" s="3" t="n">
        <v>246.3</v>
      </c>
      <c r="F22" s="3" t="n">
        <v>339.2</v>
      </c>
      <c r="G22" s="4" t="inlineStr">
        <is>
          <t>HCIN (20cr): Standard (2.5x): 6.0h/teacher @ 2.5x = 15.0h; Assessment setting: 4 paper(s) set (2 assessment(s), manual): 15.0h each (5.0h main + 5.0h resit); 282 scripts + 56 resits (assuming 20% of students resit) x 0.330h = 111.5h total (93.1h initial + 18.5h resit), 37.2h per teacher; Projects (40cr): Standard (2.5x): 40.0h/teacher @ 2.5x = 100.0h; Assessment setting: 2 paper(s) set (1 assessment(s), manual): 15.0h each (7.5h main + 7.5h resit); 100 scripts + 20 resits (assuming 20% of students resit) x 0.330h = 39.6h total (33.0h initial + 6.6h resit), 39.6h per teacher; Project setting (fixed): 6.0h; Pastoral: 8 students x 3h = 24.0h; Projects: 5 projects x UG (16h) = 80.0h</t>
        </is>
      </c>
      <c r="H22" s="4" t="inlineStr">
        <is>
          <t>Grant EPSRC: Addressing environmental injustices through transdisciplinary science and technology: 5% of 1642h = 82.1h</t>
        </is>
      </c>
      <c r="I22" s="4" t="inlineStr">
        <is>
          <t>Taught Project Coordinator: 10% of 1642h = 164.2h; Engagement (email/meetings): 100.0h; Personal development: 75.0h (FTE: 1.00)</t>
        </is>
      </c>
      <c r="J22" s="5" t="inlineStr">
        <is>
          <t>Module had 0 students - marking not calculated</t>
        </is>
      </c>
      <c r="K22" s="5" t="inlineStr">
        <is>
          <t>None</t>
        </is>
      </c>
    </row>
    <row r="23">
      <c r="A23" s="2" t="inlineStr">
        <is>
          <t>James Stovold</t>
        </is>
      </c>
      <c r="B23" s="2" t="n">
        <v>1</v>
      </c>
      <c r="C23" s="3" t="n">
        <v>775.34</v>
      </c>
      <c r="D23" s="3" t="n">
        <v>354.04</v>
      </c>
      <c r="E23" s="3" t="n">
        <v>164.2</v>
      </c>
      <c r="F23" s="3" t="n">
        <v>257.1</v>
      </c>
      <c r="G23" s="4" t="inlineStr">
        <is>
          <t>DEEP (20cr): New lecturer (5x): 9.0h base @ 2.5x + content dev = 45h; Assessment setting: 2 paper(s) set (1 assessment(s), manual): 15.0h each (3.8h main + 3.8h resit); 130 scripts + 26 resits (assuming 20% of students resit) x 0.330h = 51.5h total (42.9h initial + 8.6h resit), 25.7h per teacher; LLMA (20cr): New lecturer (5x): 9.0h base @ 2.5x + content dev = 45h;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Academic Admissions Team: 5% of 1642h = 82.1h; Engagement (email/meetings): 100.0h; Personal development: 75.0h (FTE: 1.00)</t>
        </is>
      </c>
      <c r="J23" s="5" t="inlineStr">
        <is>
          <t>Module had 0 students - marking not calculated; Module had 0 students - marking not calculated</t>
        </is>
      </c>
      <c r="K23" s="5" t="inlineStr">
        <is>
          <t>None</t>
        </is>
      </c>
    </row>
    <row r="24">
      <c r="A24" s="2" t="inlineStr">
        <is>
          <t>James Walker</t>
        </is>
      </c>
      <c r="B24" s="2" t="n">
        <v>1</v>
      </c>
      <c r="C24" s="3" t="n">
        <v>1423.84</v>
      </c>
      <c r="D24" s="3" t="n">
        <v>248.04</v>
      </c>
      <c r="E24" s="3" t="n">
        <v>1000.8</v>
      </c>
      <c r="F24" s="3" t="n">
        <v>175</v>
      </c>
      <c r="G24" s="4" t="inlineStr">
        <is>
          <t>IMLO (20cr): Standard (2.5x): 6.0h/teacher @ 2.5x = 15.0h; Assessment setting: 4 paper(s) set (2 assessment(s), manual): 15.0h each (5.0h main + 5.0h resit); 304 scripts + 60 resits (assuming 20% of students resit) x 0.330h = 120.1h total (100.3h initial + 19.8h resit), 40.0h per teacher; Project setting (fixed): 6.0h; Pastoral: 21 students x 3h = 63.0h; Projects: 7 projects x UG (16h) = 112.0h</t>
        </is>
      </c>
      <c r="H24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</row>
    <row r="25">
      <c r="A25" s="2" t="inlineStr">
        <is>
          <t>Jen Beeston</t>
        </is>
      </c>
      <c r="B25" s="2" t="n">
        <v>1</v>
      </c>
      <c r="C25" s="3" t="n">
        <v>767</v>
      </c>
      <c r="D25" s="3" t="n">
        <v>259.8</v>
      </c>
      <c r="E25" s="3" t="n">
        <v>332.2</v>
      </c>
      <c r="F25" s="3" t="n">
        <v>175</v>
      </c>
      <c r="G25" s="4" t="inlineStr">
        <is>
          <t>QUAL (20cr): Standard (2.5x): 9.0h/teacher @ 2.5x = 22.5h; Assessment setting: 2 paper(s) set (1 assessment(s), manual): 15.0h each (3.8h main + 3.8h resit); 40 scripts + 8 resits (assuming 20% of students resit) x 0.330h = 15.8h total (13.2h initial + 2.6h resit), 7.9h per teacher; TECC (20cr): Standard (2.5x): 9.0h/teacher @ 2.5x = 22.5h; Assessment setting: 2 paper(s) set (1 assessment(s), manual): 15.0h each (3.8h main + 3.8h resit); 60 scripts + 12 resits (assuming 20% of students resit) x 0.330h = 23.8h total (19.8h initial + 4.0h resit), 11.9h per teacher; Project setting (fixed): 6.0h; Pastoral: 9 students x 3h = 27.0h; Projects: 9 projects x UG (16h) = 144.0h</t>
        </is>
      </c>
      <c r="H25" s="4" t="inlineStr">
        <is>
          <t>PhD supervision: 3x part-time PhD student × 48h/FTE; 3x assessor (8h each) = 168.0h</t>
        </is>
      </c>
      <c r="I25" s="4" t="inlineStr">
        <is>
          <t>Chair of the Department Education Committee: 0% of 1642h = 0.0h; Engagement (email/meetings): 100.0h; Personal development: 75.0h (FTE: 1.00)</t>
        </is>
      </c>
      <c r="J25" s="5" t="inlineStr">
        <is>
          <t>Module had 0 students - marking not calculated; Module had 0 students - marking not calculated</t>
        </is>
      </c>
      <c r="K25" s="5" t="inlineStr">
        <is>
          <t>None</t>
        </is>
      </c>
    </row>
    <row r="26">
      <c r="A26" s="2" t="inlineStr">
        <is>
          <t>Jo Iacovides</t>
        </is>
      </c>
      <c r="B26" s="2" t="n">
        <v>1</v>
      </c>
      <c r="C26" s="3" t="n">
        <v>927.7550000000001</v>
      </c>
      <c r="D26" s="3" t="n">
        <v>240.355</v>
      </c>
      <c r="E26" s="3" t="n">
        <v>348.2</v>
      </c>
      <c r="F26" s="3" t="n">
        <v>339.2</v>
      </c>
      <c r="G26" s="4" t="inlineStr">
        <is>
          <t>PLEI (20cr): Standard (2.5x): 9.0h/teacher @ 2.5x = 22.5h; Assessment setting: 4 paper(s) set (2 assessment(s), manual): 15.0h each (7.5h main + 7.5h resit); 33 scripts + 6 resits (assuming 20% of students resit) x 0.330h = 12.9h total (10.9h initial + 2.0h resit), 6.4h per teacher; QUAL (20cr): Standard (2.5x): 9.0h/teacher @ 2.5x = 22.5h; Assessment setting: 2 paper(s) set (1 assessment(s), manual): 15.0h each (3.8h main + 3.8h resit); 40 scripts + 8 resits (assuming 20% of students resit) x 0.330h = 15.8h total (13.2h initial + 2.6h resit), 7.9h per teacher; Project setting (fixed): 6.0h; Pastoral: 12 students x 3h = 36.0h; Projects: 7 projects x UG (16h) = 112.0h</t>
        </is>
      </c>
      <c r="H26" s="4" t="inlineStr">
        <is>
          <t>PhD supervision: 3x part-time PhD student × 48h/FTE; 5x assessor (8h each) = 184.0h</t>
        </is>
      </c>
      <c r="I26" s="4" t="inlineStr">
        <is>
          <t>Progression Panel: 10% of 1642h = 164.2h; Engagement (email/meetings): 100.0h; Personal development: 75.0h (FTE: 1.00)</t>
        </is>
      </c>
      <c r="J26" s="5" t="inlineStr">
        <is>
          <t>Module had 0 students - marking not calculated</t>
        </is>
      </c>
      <c r="K26" s="5" t="inlineStr">
        <is>
          <t>None</t>
        </is>
      </c>
    </row>
    <row r="27">
      <c r="A27" s="2" t="inlineStr">
        <is>
          <t>Joe Cutting</t>
        </is>
      </c>
      <c r="B27" s="2" t="n">
        <v>1</v>
      </c>
      <c r="C27" s="3" t="n">
        <v>654.235</v>
      </c>
      <c r="D27" s="3" t="n">
        <v>251.035</v>
      </c>
      <c r="E27" s="3" t="n">
        <v>228.2</v>
      </c>
      <c r="F27" s="3" t="n">
        <v>175</v>
      </c>
      <c r="G27" s="4" t="inlineStr">
        <is>
          <t>IDEV (20cr): Standard (2.5x): 9.0h/teacher @ 2.5x = 22.5h; Assessment setting: 4 paper(s) set (2 assessment(s), manual): 15.0h each (7.5h main + 7.5h resit); 10 scripts + 2 resits (assuming 20% of students resit) x 0.330h = 4.0h total (3.3h initial + 0.7h resit), 2.0h per teacher; PRAD (20cr): Standard (2.5x): 9.0h/teacher @ 2.5x = 22.5h; Assessment setting: 2 paper(s) set (1 assessment(s), manual): 15.0h each (3.8h main + 3.8h resit); 56 scripts + 11 resits (assuming 20% of students resit) x 0.330h = 22.1h total (18.5h initial + 3.6h resit), 11.1h per teacher; Project setting (fixed): 6.0h; Pastoral: 16 students x 3h = 48.0h; Projects: 7 projects x UG (16h) = 112.0h</t>
        </is>
      </c>
      <c r="H27" s="4" t="inlineStr">
        <is>
          <t>PhD supervision: 1x part-time PhD student × 48h/FTE; 2x assessor (8h each) = 64.0h</t>
        </is>
      </c>
      <c r="I27" s="4" t="inlineStr">
        <is>
          <t>ECR rep: 0% of 1642h = 0.0h; Engagement (email/meetings): 100.0h; Personal development: 75.0h (FTE: 1.00)</t>
        </is>
      </c>
      <c r="J27" s="5" t="inlineStr">
        <is>
          <t>Module had 0 students - marking not calculated</t>
        </is>
      </c>
      <c r="K27" s="5" t="inlineStr">
        <is>
          <t>None</t>
        </is>
      </c>
    </row>
    <row r="28">
      <c r="A28" s="2" t="inlineStr">
        <is>
          <t>Katrina Attwood</t>
        </is>
      </c>
      <c r="B28" s="2" t="n">
        <v>1</v>
      </c>
      <c r="C28" s="3" t="n">
        <v>1039.16</v>
      </c>
      <c r="D28" s="3" t="n">
        <v>323.56</v>
      </c>
      <c r="E28" s="3" t="n">
        <v>212.2</v>
      </c>
      <c r="F28" s="3" t="n">
        <v>503.4</v>
      </c>
      <c r="G28" s="4" t="inlineStr">
        <is>
          <t>HCIN (20cr): Standard (2.5x): 6.0h/teacher @ 2.5x = 15.0h; Assessment setting: 4 paper(s) set (2 assessment(s), manual): 15.0h each (5.0h main + 5.0h resit); 282 scripts + 56 resits (assuming 20% of students resit) x 0.330h = 111.5h total (93.1h initial + 18.5h resit), 37.2h per teacher; TECC (20cr): Standard (2.5x): 9.0h/teacher @ 2.5x = 22.5h; Assessment setting: 2 paper(s) set (1 assessment(s), manual): 15.0h each (3.8h main + 3.8h resit); 60 scripts + 12 resits (assuming 20% of students resit) x 0.330h = 23.8h total (19.8h initial + 4.0h resit), 11.9h per teacher; Project setting (fixed): 6.0h; Pastoral: 22 students x 3h = 66.0h; Projects: 9 projects x UG (16h) = 144.0h</t>
        </is>
      </c>
      <c r="H28" s="4" t="inlineStr">
        <is>
          <t>PhD supervision: 1x part-time PhD student × 48h/FTE = 48.0h</t>
        </is>
      </c>
      <c r="I28" s="4" t="inlineStr">
        <is>
          <t>Director of Students: 20% of 1642h = 328.4h; Engagement (email/meetings): 100.0h; Personal development: 75.0h (FTE: 1.00)</t>
        </is>
      </c>
      <c r="J28" s="5" t="inlineStr">
        <is>
          <t>Module had 0 students - marking not calculated</t>
        </is>
      </c>
      <c r="K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1052.683333333333</v>
      </c>
      <c r="D29" s="3" t="n">
        <v>275.1833333333333</v>
      </c>
      <c r="E29" s="3" t="n">
        <v>356.2</v>
      </c>
      <c r="F29" s="3" t="n">
        <v>421.3</v>
      </c>
      <c r="G29" s="4" t="inlineStr">
        <is>
          <t>SOF1 (20cr): Standard (2.5x): 6.0h/teacher @ 2.5x = 15.0h; Assessment setting: 2 paper(s) set (1 assessment(s), manual): 15.0h each (2.5h main + 2.5h resit); 327 scripts + 65 resits (assuming 20% of students resit) x 0.330h = 129.4h total (107.9h initial + 21.4h resit), 43.1h per teacher; SOF2 (20cr): Standard (2.5x): 6.3h/teacher @ 2.5x = 15.8h; Assessment setting: 4 paper(s) set (2 assessment(s), manual): 15.0h each (5.0h main + 5.0h resit); 328 scripts + 65 resits (assuming 20% of students resit) x 0.330h = 129.7h total (108.2h initial + 21.4h resit), 43.2h per teacher; Project setting (fixed): 6.0h;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</row>
    <row r="30">
      <c r="A30" s="2" t="inlineStr">
        <is>
          <t>Kostas Barmpis</t>
        </is>
      </c>
      <c r="B30" s="2" t="n">
        <v>1</v>
      </c>
      <c r="C30" s="3" t="n">
        <v>1005.1</v>
      </c>
      <c r="D30" s="3" t="n">
        <v>281.5</v>
      </c>
      <c r="E30" s="3" t="n">
        <v>548.6</v>
      </c>
      <c r="F30" s="3" t="n">
        <v>175</v>
      </c>
      <c r="G30" s="4" t="inlineStr">
        <is>
          <t>ENG1 (20cr): Standard (2.5x): 6.0h/teacher @ 2.5x = 15.0h; Assessment setting: 4 paper(s) set (2 assessment(s), manual): 15.0h each (5.0h main + 5.0h resit); 315 scripts + 63 resits (assuming 20% of students resit) x 0.330h = 124.7h total (104.0h initial + 20.8h resit), 41.6h per teacher; ENG2 (20cr): Standard (2.5x): 6.0h/teacher @ 2.5x = 15.0h; Assessment setting: 2 paper(s) set (1 assessment(s), manual): 15.0h each (2.5h main + 2.5h resit); 60 scripts + 12 resits (assuming 20% of students resit) x 0.330h = 23.8h total (19.8h initial + 4.0h resit), 7.9h per teacher; Project setting (fixed): 6.0h; Pastoral: 22 students x 3h = 66.0h; Projects: 7 projects x UG (16h) = 112.0h</t>
        </is>
      </c>
      <c r="H30" s="4" t="inlineStr">
        <is>
          <t>PhD supervision: 1x part-time PhD student × 48h/FTE; 1x assessor (8h each) = 56.0h; Grant MOSAICO: 10% of 1642h = 164.2h; Grant SCHEME: 10% of 1642h = 164.2h</t>
        </is>
      </c>
      <c r="I30" s="4" t="inlineStr">
        <is>
          <t>PGR Training Officer: 0% of 1642h = 0.0h; Engagement (email/meetings): 100.0h; Personal development: 75.0h (FTE: 1.00)</t>
        </is>
      </c>
      <c r="J30" s="5" t="inlineStr">
        <is>
          <t>Module had 0 students - marking not calculated</t>
        </is>
      </c>
      <c r="K30" s="5" t="inlineStr">
        <is>
          <t>None</t>
        </is>
      </c>
    </row>
    <row r="31">
      <c r="A31" s="2" t="inlineStr">
        <is>
          <t>Mike Freeman</t>
        </is>
      </c>
      <c r="B31" s="2" t="n">
        <v>1</v>
      </c>
      <c r="C31" s="3" t="n">
        <v>739.4433333333334</v>
      </c>
      <c r="D31" s="3" t="n">
        <v>318.1433333333333</v>
      </c>
      <c r="E31" s="3" t="n">
        <v>164.2</v>
      </c>
      <c r="F31" s="3" t="n">
        <v>257.1</v>
      </c>
      <c r="G31" s="4" t="inlineStr">
        <is>
          <t>SYS1 (20cr): Standard (2.5x): 6.0h/teacher @ 2.5x = 15.0h; Assessment setting: 2 paper(s) set (1 assessment(s), manual): 15.0h each (2.5h main + 2.5h resit); 283 scripts + 56 resits (assuming 20% of students resit) x 0.330h = 111.9h total (93.4h initial + 18.5h resit), 37.3h per teacher; SYS2 (20cr): Standard (2.5x): 5.3h/teacher @ 2.5x = 13.3h; Assessment setting: 2 paper(s) set (1 assessment(s), manual): 15.0h each (2.5h main + 2.5h resit); 277 scripts + 55 resits (assuming 20% of students resit) x 0.330h = 109.6h total (91.4h initial + 18.2h resit), 36.5h per teacher; Project setting (fixed): 6.0h; Pastoral: 18 students x 3h = 54.0h; Projects: 9 projects x UG (16h) = 144.0h</t>
        </is>
      </c>
      <c r="H31" s="4" t="inlineStr">
        <is>
          <t>No research activities recorded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</row>
    <row r="32">
      <c r="A32" s="2" t="inlineStr">
        <is>
          <t>Mike O'Dea</t>
        </is>
      </c>
      <c r="B32" s="2" t="n">
        <v>1</v>
      </c>
      <c r="C32" s="3" t="n">
        <v>493.375</v>
      </c>
      <c r="D32" s="3" t="n">
        <v>72.075</v>
      </c>
      <c r="E32" s="3" t="n">
        <v>164.2</v>
      </c>
      <c r="F32" s="3" t="n">
        <v>257.1</v>
      </c>
      <c r="G32" s="4" t="inlineStr">
        <is>
          <t>CBDA (20cr): Standard (2.5x): 9.0h/teacher @ 2.5x = 22.5h; Assessment setting: 2 paper(s) set (1 assessment(s), manual): 15.0h each (3.8h main + 3.8h resit); 29 scripts + 5 resits (assuming 20% of students resit) x 0.330h = 11.2h total (9.6h initial + 1.7h resit), 5.6h per teacher; GODS (20cr): Standard (2.5x): 9.0h/teacher @ 2.5x = 22.5h; Assessment setting: 2 paper(s) set (1 assessment(s), manual): 15.0h each (3.8h main + 3.8h resit); 18 scripts + 3 resits (assuming 20% of students resit) x 0.330h = 6.9h total (5.9h initial + 1.0h resit), 3.5h per teacher</t>
        </is>
      </c>
      <c r="H32" s="4" t="inlineStr">
        <is>
          <t>No research activities recorded</t>
        </is>
      </c>
      <c r="I32" s="4" t="inlineStr">
        <is>
          <t>Other PLs: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</row>
    <row r="33">
      <c r="A33" s="2" t="inlineStr">
        <is>
          <t>Nick Pears</t>
        </is>
      </c>
      <c r="B33" s="2" t="n">
        <v>1</v>
      </c>
      <c r="C33" s="3" t="n">
        <v>1440.013333333333</v>
      </c>
      <c r="D33" s="3" t="n">
        <v>180.0133333333333</v>
      </c>
      <c r="E33" s="3" t="n">
        <v>428.2</v>
      </c>
      <c r="F33" s="3" t="n">
        <v>831.8000000000001</v>
      </c>
      <c r="G33" s="4" t="inlineStr">
        <is>
          <t>THE1 (20cr): Standard (2.5x): 6.3h/teacher @ 2.5x = 15.8h; Assessment setting: 2 paper(s) set (1 assessment(s), manual): 15.0h each (2.5h main + 2.5h resit); 282 scripts + 56 resits (assuming 20% of students resit) x 0.330h = 111.5h total (93.1h initial + 18.5h resit), 37.2h per teacher; Project setting (fixed): 6.0h; Pastoral: 17 students x 3h = 51.0h; Projects: 4 projects x UG (16h) = 64.0h</t>
        </is>
      </c>
      <c r="H33" s="4" t="inlineStr">
        <is>
          <t>PhD supervision: 1x full-time PhD student × 80h/FTE; 3x part-time PhD student × 48h/FTE; 5x assessor (8h each) = 264.0h</t>
        </is>
      </c>
      <c r="I33" s="4" t="inlineStr">
        <is>
          <t>Deputy Head (Research): 40% of 1642h = 656.8h;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</row>
    <row r="34">
      <c r="A34" s="2" t="inlineStr">
        <is>
          <t>Paul Cairns</t>
        </is>
      </c>
      <c r="B34" s="2" t="n">
        <v>1</v>
      </c>
      <c r="C34" s="3" t="n">
        <v>1487.945</v>
      </c>
      <c r="D34" s="3" t="n">
        <v>136.145</v>
      </c>
      <c r="E34" s="3" t="n">
        <v>1012.6</v>
      </c>
      <c r="F34" s="3" t="n">
        <v>339.2</v>
      </c>
      <c r="G34" s="4" t="inlineStr">
        <is>
          <t>GODS (20cr): Standard (2.5x): 9.0h/teacher @ 2.5x = 22.5h; Assessment setting: 2 paper(s) set (1 assessment(s), manual): 15.0h each (3.8h main + 3.8h resit); 18 scripts + 3 resits (assuming 20% of students resit) x 0.330h = 6.9h total (5.9h initial + 1.0h resit), 3.5h per teacher; HCIN (20cr): Standard (2.5x): 6.0h/teacher @ 2.5x = 15.0h; Assessment setting: 4 paper(s) set (2 assessment(s), manual): 15.0h each (5.0h main + 5.0h resit); 282 scripts + 56 resits (assuming 20% of students resit) x 0.330h = 111.5h total (93.1h initial + 18.5h resit), 37.2h per teacher; Project setting (fixed): 6.0h; Pastoral: 5 students x 3h = 15.0h; Projects: 1 projects x UG (16h) = 16.0h</t>
        </is>
      </c>
      <c r="H3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34" s="4" t="inlineStr">
        <is>
          <t>Other PLs: 5% of 1642h = 82.1h; REF Lead: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</row>
    <row r="35">
      <c r="A35" s="2" t="inlineStr">
        <is>
          <t>Pedro Ribeiro</t>
        </is>
      </c>
      <c r="B35" s="2" t="n">
        <v>1</v>
      </c>
      <c r="C35" s="3" t="n">
        <v>1197.73</v>
      </c>
      <c r="D35" s="3" t="n">
        <v>213.93</v>
      </c>
      <c r="E35" s="3" t="n">
        <v>644.6</v>
      </c>
      <c r="F35" s="3" t="n">
        <v>339.2</v>
      </c>
      <c r="G35" s="4" t="inlineStr">
        <is>
          <t>AURO (20cr): Standard (2.5x): 6.0h/teacher @ 2.5x = 15.0h; Assessment setting: 2 paper(s) set (1 assessment(s), manual): 15.0h each (2.5h main + 2.5h resit); 104 scripts + 20 resits (assuming 20% of students resit) x 0.330h = 40.9h total (34.3h initial + 6.6h resit), 13.6h per teacher; SYS1 (20cr): Standard (2.5x): 6.0h/teacher @ 2.5x = 15.0h; Assessment setting: 2 paper(s) set (1 assessment(s), manual): 15.0h each (2.5h main + 2.5h resit); 283 scripts + 56 resits (assuming 20% of students resit) x 0.330h = 111.9h total (93.4h initial + 18.5h resit), 37.3h per teacher; Project setting (fixed): 6.0h; Pastoral: 17 students x 3h = 51.0h; Projects: 4 projects x UG (16h) = 64.0h</t>
        </is>
      </c>
      <c r="H35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5" s="4" t="inlineStr">
        <is>
          <t>Progression Panel: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</row>
    <row r="36">
      <c r="A36" s="2" t="inlineStr">
        <is>
          <t>Pengcheng Liu</t>
        </is>
      </c>
      <c r="B36" s="2" t="n">
        <v>1</v>
      </c>
      <c r="C36" s="3" t="n">
        <v>1312.88</v>
      </c>
      <c r="D36" s="3" t="n">
        <v>141.3</v>
      </c>
      <c r="E36" s="3" t="n">
        <v>996.5800000000002</v>
      </c>
      <c r="F36" s="3" t="n">
        <v>175</v>
      </c>
      <c r="G36" s="4" t="inlineStr">
        <is>
          <t>SYS3 (20cr): Standard (2.5x): 6.0h/teacher @ 2.5x = 15.0h; Assessment setting: 2 paper(s) set (1 assessment(s), manual): 15.0h each (2.5h main + 2.5h resit); 275 scripts + 55 resits (assuming 20% of students resit) x 0.330h = 108.9h total (90.8h initial + 18.2h resit), 36.3h per teacher; Project setting (fixed): 6.0h; Pastoral: 10 students x 3h = 30.0h; Projects: 3 projects x UG (16h) = 48.0h</t>
        </is>
      </c>
      <c r="H3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6" s="4" t="inlineStr">
        <is>
          <t>Graduate School Board (GSB) Chair: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</row>
    <row r="37">
      <c r="A37" s="2" t="inlineStr">
        <is>
          <t>Peter Nightingale</t>
        </is>
      </c>
      <c r="B37" s="2" t="n">
        <v>1</v>
      </c>
      <c r="C37" s="3" t="n">
        <v>965.4300000000001</v>
      </c>
      <c r="D37" s="3" t="n">
        <v>326.03</v>
      </c>
      <c r="E37" s="3" t="n">
        <v>300.2</v>
      </c>
      <c r="F37" s="3" t="n">
        <v>339.2</v>
      </c>
      <c r="G37" s="4" t="inlineStr">
        <is>
          <t>ARIA (20cr): Existing lecturer + new content (5x): 45h; Assessment setting: 2 paper(s) set (1 assessment(s), manual): 15.0h each (3.8h main + 3.8h resit); 100 scripts + 20 resits (assuming 20% of students resit) x 0.330h = 39.6h total (33.0h initial + 6.6h resit), 19.8h per teacher; FOAM (20cr): Existing lecturer + new content (5x): 45h; Assessment setting: 2 paper(s) set (1 assessment(s), manual): 15.0h each (3.8h main + 3.8h resit); 100 scripts + 20 resits (assuming 20% of students resit) x 0.330h = 39.6h total (33.0h initial + 6.6h resit), 19.8h per teacher; SAIL (20cr): Standard (2.5x): 9.0h/teacher @ 2.5x = 22.5h; Assessment setting: 2 paper(s) set (1 assessment(s), manual): 15.0h each (3.8h main + 3.8h resit); 35 scripts + 7 resits (assuming 20% of students resit) x 0.330h = 13.9h total (11.6h initial + 2.3h resit), 6.9h per teacher; Project setting (fixed): 6.0h; Pastoral: 18 students x 3h = 54.0h; Projects: 5 projects x UG (16h) = 80.0h</t>
        </is>
      </c>
      <c r="H37" s="4" t="inlineStr">
        <is>
          <t>PhD supervision: 2x part-time PhD student × 48h/FTE; 5x assessor (8h each) = 136.0h</t>
        </is>
      </c>
      <c r="I37" s="4" t="inlineStr">
        <is>
          <t>UG PL: 10% of 1642h = 164.2h; Engagement (email/meetings): 100.0h; Personal development: 75.0h (FTE: 1.00)</t>
        </is>
      </c>
      <c r="J37" s="5" t="inlineStr">
        <is>
          <t>Module had 0 students - marking not calculated; Module had 0 students - marking not calculated</t>
        </is>
      </c>
      <c r="K37" s="5" t="inlineStr">
        <is>
          <t>None</t>
        </is>
      </c>
    </row>
    <row r="38">
      <c r="A38" s="2" t="inlineStr">
        <is>
          <t>Poonam Yadav</t>
        </is>
      </c>
      <c r="B38" s="2" t="n">
        <v>1</v>
      </c>
      <c r="C38" s="3" t="n">
        <v>1629.12</v>
      </c>
      <c r="D38" s="3" t="n">
        <v>177.12</v>
      </c>
      <c r="E38" s="3" t="n">
        <v>1112.8</v>
      </c>
      <c r="F38" s="3" t="n">
        <v>339.2</v>
      </c>
      <c r="G38" s="4" t="inlineStr">
        <is>
          <t>SOF1 (20cr): Standard (2.5x): 6.0h/teacher @ 2.5x = 15.0h; Assessment setting: 2 paper(s) set (1 assessment(s), manual): 15.0h each (2.5h main + 2.5h resit); 327 scripts + 65 resits (assuming 20% of students resit) x 0.330h = 129.4h total (107.9h initial + 21.4h resit), 43.1h per teacher; Project setting (fixed): 6.0h; Pastoral: 25 students x 3h = 75.0h; Projects: 2 projects x UG (16h) = 32.0h</t>
        </is>
      </c>
      <c r="H38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8" s="4" t="inlineStr">
        <is>
          <t>Progression Panel: 10% of 1642h = 164.2h; Engagement (email/meetings): 100.0h; Personal development: 75.0h (FTE: 1.00)</t>
        </is>
      </c>
      <c r="J38" s="5" t="inlineStr">
        <is>
          <t>None</t>
        </is>
      </c>
      <c r="K38" s="5" t="inlineStr">
        <is>
          <t>None</t>
        </is>
      </c>
    </row>
    <row r="39">
      <c r="A39" s="2" t="inlineStr">
        <is>
          <t>Pourya Shamsolmoali</t>
        </is>
      </c>
      <c r="B39" s="2" t="n">
        <v>1</v>
      </c>
      <c r="C39" s="3" t="n">
        <v>768.4649999999999</v>
      </c>
      <c r="D39" s="3" t="n">
        <v>242.115</v>
      </c>
      <c r="E39" s="3" t="n">
        <v>228.2</v>
      </c>
      <c r="F39" s="3" t="n">
        <v>298.15</v>
      </c>
      <c r="G39" s="4" t="inlineStr">
        <is>
          <t>DATA (20cr): Standard (2.5x): 9.0h/teacher @ 2.5x = 22.5h; Assessment setting: 2 paper(s) set (1 assessment(s), manual): 15.0h each (3.8h main + 3.8h resit); 296 scripts + 59 resits (assuming 20% of students resit) x 0.330h = 117.2h total (97.7h initial + 19.5h resit), 58.6h per teacher; IMLO (20cr): Standard (2.5x): 6.0h/teacher @ 2.5x = 15.0h; Assessment setting: 4 paper(s) set (2 assessment(s), manual): 15.0h each (5.0h main + 5.0h resit); 304 scripts + 60 resits (assuming 20% of students resit) x 0.330h = 120.1h total (100.3h initial + 19.8h resit), 40.0h per teacher; Project setting (fixed): 6.0h; Pastoral: 5 students x 3h = 15.0h; Projects: 4 projects x UG (16h) = 64.0h</t>
        </is>
      </c>
      <c r="H39" s="4" t="inlineStr">
        <is>
          <t>PhD supervision: 1x part-time PhD student × 48h/FTE; 2x assessor (8h each) = 64.0h</t>
        </is>
      </c>
      <c r="I39" s="4" t="inlineStr">
        <is>
          <t>Graduate School Board (Ordinary member): 2% of 1642h = 41.1h; Other PLs: 5% of 1642h = 82.1h;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</row>
    <row r="40">
      <c r="A40" s="2" t="inlineStr">
        <is>
          <t>Radu Calinescu</t>
        </is>
      </c>
      <c r="B40" s="2" t="n">
        <v>1</v>
      </c>
      <c r="C40" s="3" t="n">
        <v>1224.13</v>
      </c>
      <c r="D40" s="3" t="n">
        <v>130.43</v>
      </c>
      <c r="E40" s="3" t="n">
        <v>918.7</v>
      </c>
      <c r="F40" s="3" t="n">
        <v>175</v>
      </c>
      <c r="G40" s="4" t="inlineStr">
        <is>
          <t>GPIG (40cr): Standard (2.5x): 19.0h/teacher @ 2.5x = 47.5h; Assessment setting: 6 paper(s) set (3 assessment(s), manual): 15.0h each (11.2h main + 11.2h resit); 35 scripts + 7 resits (assuming 20% of students resit) x 0.330h = 13.9h total (11.6h initial + 2.3h resit), 6.9h per teacher; Project setting (fixed): 6.0h; Pastoral: 9 students x 3h = 27.0h; Projects: 1 projects x UG (16h) = 16.0h</t>
        </is>
      </c>
      <c r="H40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0" s="4" t="inlineStr">
        <is>
          <t>Engagement (email/meetings): 100.0h; Personal development: 75.0h (FTE: 1.00)</t>
        </is>
      </c>
      <c r="J40" s="5" t="inlineStr">
        <is>
          <t>None</t>
        </is>
      </c>
      <c r="K40" s="5" t="inlineStr">
        <is>
          <t>No administrative roles assigned</t>
        </is>
      </c>
    </row>
    <row r="41">
      <c r="A41" s="2" t="inlineStr">
        <is>
          <t>Rob Alexander</t>
        </is>
      </c>
      <c r="B41" s="2" t="n">
        <v>1</v>
      </c>
      <c r="C41" s="3" t="n">
        <v>773.1849999999999</v>
      </c>
      <c r="D41" s="3" t="n">
        <v>199.885</v>
      </c>
      <c r="E41" s="3" t="n">
        <v>398.3</v>
      </c>
      <c r="F41" s="3" t="n">
        <v>175</v>
      </c>
      <c r="G41" s="4" t="inlineStr">
        <is>
          <t>HINT (20cr): Standard (2.5x): 9.0h/teacher @ 2.5x = 22.5h; Assessment setting: 2 paper(s) set (1 assessment(s), manual): 15.0h each (3.8h main + 3.8h resit); 58 scripts + 11 resits (assuming 20% of students resit) x 0.330h = 22.8h total (19.1h initial + 3.6h resit), 11.4h per teacher; Project setting (fixed): 6.0h; Pastoral: 13 students x 3h = 39.0h; Projects: 7 projects x UG (16h) = 112.0h</t>
        </is>
      </c>
      <c r="H41" s="4" t="inlineStr">
        <is>
          <t>PhD supervision: 3x part-time PhD student × 48h/FTE; 1x assessor (8h each) = 152.0h; Grant The Centre for Assuring Autonomy: 5% of 1642h = 82.1h</t>
        </is>
      </c>
      <c r="I41" s="4" t="inlineStr">
        <is>
          <t>StAMP committee members: 0% of 1642h = 0.0h; Engagement (email/meetings): 100.0h; Personal development: 75.0h (FTE: 1.00)</t>
        </is>
      </c>
      <c r="J41" s="5" t="inlineStr">
        <is>
          <t>None</t>
        </is>
      </c>
      <c r="K41" s="5" t="inlineStr">
        <is>
          <t>None</t>
        </is>
      </c>
    </row>
    <row r="42">
      <c r="A42" s="2" t="inlineStr">
        <is>
          <t>Robbert Jongeling</t>
        </is>
      </c>
      <c r="B42" s="2" t="n">
        <v>1</v>
      </c>
      <c r="C42" s="3" t="n">
        <v>523.48</v>
      </c>
      <c r="D42" s="3" t="n">
        <v>184.28</v>
      </c>
      <c r="E42" s="3" t="n">
        <v>164.2</v>
      </c>
      <c r="F42" s="3" t="n">
        <v>175</v>
      </c>
      <c r="G42" s="4" t="inlineStr">
        <is>
          <t>ELLA (20cr): New lecturer (5x): 6.0h base @ 2.5x + content dev = 30h; Assessment setting: 2 paper(s) set (1 assessment(s), manual): 15.0h each (2.5h main + 2.5h resit); 100 scripts + 20 resits (assuming 20% of students resit) x 0.330h = 39.6h total (33.0h initial + 6.6h resit), 13.2h per teacher; ENG1 (20cr): New lecturer (5x): 6.0h base @ 2.5x + content dev = 30h; Assessment setting: 4 paper(s) set (2 assessment(s), manual): 15.0h each (5.0h main + 5.0h resit); 315 scripts + 63 resits (assuming 20% of students resit) x 0.330h = 124.7h total (104.0h initial + 20.8h resit), 41.6h per teacher; Project setting (fixed): 6.0h; Pastoral: 2 students x 3h = 6.0h; Projects: 2 projects x UG (16h) = 32.0h</t>
        </is>
      </c>
      <c r="H42" s="4" t="inlineStr">
        <is>
          <t>No research activities recorded</t>
        </is>
      </c>
      <c r="I42" s="4" t="inlineStr">
        <is>
          <t>Engagement (email/meetings): 100.0h; Personal development: 75.0h (FTE: 1.00)</t>
        </is>
      </c>
      <c r="J42" s="5" t="inlineStr">
        <is>
          <t>Module had 0 students - marking not calculated</t>
        </is>
      </c>
      <c r="K42" s="5" t="inlineStr">
        <is>
          <t>No administrative roles assigned</t>
        </is>
      </c>
    </row>
    <row r="43">
      <c r="A43" s="2" t="inlineStr">
        <is>
          <t>Roberto Metere</t>
        </is>
      </c>
      <c r="B43" s="2" t="n">
        <v>1</v>
      </c>
      <c r="C43" s="3" t="n">
        <v>745.4416666666666</v>
      </c>
      <c r="D43" s="3" t="n">
        <v>302.2416666666667</v>
      </c>
      <c r="E43" s="3" t="n">
        <v>268.2</v>
      </c>
      <c r="F43" s="3" t="n">
        <v>175</v>
      </c>
      <c r="G43" s="4" t="inlineStr">
        <is>
          <t>CBDA (20cr): Standard (2.5x): 9.0h/teacher @ 2.5x = 22.5h; Assessment setting: 2 paper(s) set (1 assessment(s), manual): 15.0h each (3.8h main + 3.8h resit); 29 scripts + 5 resits (assuming 20% of students resit) x 0.330h = 11.2h total (9.6h initial + 1.7h resit), 5.6h per teacher; CTAP (20cr): Standard (2.5x): 5.7h/teacher @ 2.5x = 14.2h; Assessment setting: 2 paper(s) set (1 assessment(s), manual): 15.0h each (2.5h main + 2.5h resit); 89 scripts + 17 resits (assuming 20% of students resit) x 0.330h = 35.0h total (29.4h initial + 5.6h resit), 11.7h per teacher; EHAC (20cr): Standard (2.5x): 9.0h/teacher @ 2.5x = 22.5h; Assessment setting: 4 paper(s) set (2 assessment(s), manual): 15.0h each (7.5h main + 7.5h resit); 56 scripts + 11 resits (assuming 20% of students resit) x 0.330h = 22.1h total (18.5h initial + 3.6h resit), 11.1h per teacher; Project setting (fixed): 6.0h; Pastoral: 20 students x 3h = 60.0h; Projects: 7 projects x UG (16h) = 112.0h</t>
        </is>
      </c>
      <c r="H43" s="4" t="inlineStr">
        <is>
          <t>PhD supervision: 2x part-time PhD student × 48h/FTE; 1x assessor (8h each) = 104.0h</t>
        </is>
      </c>
      <c r="I43" s="4" t="inlineStr">
        <is>
          <t>StAMP committee members: 0% of 1642h = 0.0h; Engagement (email/meetings): 100.0h; Personal development: 75.0h (FTE: 1.00)</t>
        </is>
      </c>
      <c r="J43" s="5" t="inlineStr">
        <is>
          <t>None</t>
        </is>
      </c>
      <c r="K43" s="5" t="inlineStr">
        <is>
          <t>None</t>
        </is>
      </c>
    </row>
    <row r="44">
      <c r="A44" s="2" t="inlineStr">
        <is>
          <t>Sam Braunstein</t>
        </is>
      </c>
      <c r="B44" s="2" t="n">
        <v>1</v>
      </c>
      <c r="C44" s="3" t="n">
        <v>574.0916666666667</v>
      </c>
      <c r="D44" s="3" t="n">
        <v>234.8916666666667</v>
      </c>
      <c r="E44" s="3" t="n">
        <v>164.2</v>
      </c>
      <c r="F44" s="3" t="n">
        <v>175</v>
      </c>
      <c r="G44" s="4" t="inlineStr">
        <is>
          <t>QUCO (20cr): Standard (2.5x): 8.5h/teacher @ 2.5x = 21.2h; Assessment setting: 2 paper(s) set (1 assessment(s), manual): 15.0h each (3.8h main + 3.8h resit); 51 scripts + 10 resits (assuming 20% of students resit) x 0.330h = 20.1h total (16.8h initial + 3.3h resit), 10.1h per teacher; 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Project setting (fixed): 6.0h; Pastoral: 4 students x 3h = 12.0h; Projects: 7 projects x UG (16h) = 112.0h</t>
        </is>
      </c>
      <c r="H44" s="4" t="inlineStr">
        <is>
          <t>No research activities recorded</t>
        </is>
      </c>
      <c r="I44" s="4" t="inlineStr">
        <is>
          <t>Engagement (email/meetings): 100.0h; Personal development: 75.0h (FTE: 1.00)</t>
        </is>
      </c>
      <c r="J44" s="5" t="inlineStr">
        <is>
          <t>None</t>
        </is>
      </c>
      <c r="K44" s="5" t="inlineStr">
        <is>
          <t>No administrative roles assigned</t>
        </is>
      </c>
    </row>
    <row r="45">
      <c r="A45" s="2" t="inlineStr">
        <is>
          <t>Siamak Shahandashti</t>
        </is>
      </c>
      <c r="B45" s="2" t="n">
        <v>1</v>
      </c>
      <c r="C45" s="3" t="n">
        <v>1077.34</v>
      </c>
      <c r="D45" s="3" t="n">
        <v>259.84</v>
      </c>
      <c r="E45" s="3" t="n">
        <v>478.3</v>
      </c>
      <c r="F45" s="3" t="n">
        <v>339.2</v>
      </c>
      <c r="G45" s="4" t="inlineStr">
        <is>
          <t>CTAP (20cr): Standard (2.5x): 5.7h/teacher @ 2.5x = 14.2h; Assessment setting: 2 paper(s) set (1 assessment(s), manual): 15.0h each (2.5h main + 2.5h resit); 89 scripts + 17 resits (assuming 20% of students resit) x 0.330h = 35.0h total (29.4h initial + 5.6h resit), 11.7h per teacher; THE1 (20cr): Standard (2.5x): 6.3h/teacher @ 2.5x = 15.8h; Assessment setting: 2 paper(s) set (1 assessment(s), manual): 15.0h each (2.5h main + 2.5h resit); 282 scripts + 56 resits (assuming 20% of students resit) x 0.330h = 111.5h total (93.1h initial + 18.5h resit), 37.2h per teacher; Project setting (fixed): 6.0h; Pastoral: 17 students x 3h = 51.0h; Projects: 7 projects x UG (16h) = 112.0h</t>
        </is>
      </c>
      <c r="H45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45" s="4" t="inlineStr">
        <is>
          <t>Deputy Graduate Chair: 10% of 1642h = 164.2h; Engagement (email/meetings): 100.0h; Personal development: 75.0h (FTE: 1.00)</t>
        </is>
      </c>
      <c r="J45" s="5" t="inlineStr">
        <is>
          <t>None</t>
        </is>
      </c>
      <c r="K45" s="5" t="inlineStr">
        <is>
          <t>None</t>
        </is>
      </c>
    </row>
    <row r="46">
      <c r="A46" s="2" t="inlineStr">
        <is>
          <t>Simon Foster</t>
        </is>
      </c>
      <c r="B46" s="2" t="n">
        <v>1</v>
      </c>
      <c r="C46" s="3" t="n">
        <v>684.7966666666666</v>
      </c>
      <c r="D46" s="3" t="n">
        <v>233.5966666666667</v>
      </c>
      <c r="E46" s="3" t="n">
        <v>276.2</v>
      </c>
      <c r="F46" s="3" t="n">
        <v>175</v>
      </c>
      <c r="G46" s="4" t="inlineStr">
        <is>
          <t>THE1 (20cr): Standard (2.5x): 6.3h/teacher @ 2.5x = 15.8h; Assessment setting: 2 paper(s) set (1 assessment(s), manual): 15.0h each (2.5h main + 2.5h resit); 282 scripts + 56 resits (assuming 20% of students resit) x 0.330h = 111.5h total (93.1h initial + 18.5h resit), 37.2h per teacher; THE3 (20cr): Standard (2.5x): 6.3h/teacher @ 2.5x = 15.8h; Assessment setting: 4 paper(s) set (2 assessment(s), manual): 15.0h each (5.0h main + 5.0h resit); 313 scripts + 62 resits (assuming 20% of students resit) x 0.330h = 123.8h total (103.3h initial + 20.5h resit), 41.2h per teacher; Project setting (fixed): 6.0h; Pastoral: 11 students x 3h = 33.0h; Projects: 4 projects x UG (16h) = 64.0h</t>
        </is>
      </c>
      <c r="H46" s="4" t="inlineStr">
        <is>
          <t>PhD supervision: 2x part-time PhD student × 48h/FTE; 2x assessor (8h each) = 112.0h</t>
        </is>
      </c>
      <c r="I46" s="4" t="inlineStr">
        <is>
          <t>Engagement (email/meetings): 100.0h; Personal development: 75.0h (FTE: 1.00)</t>
        </is>
      </c>
      <c r="J46" s="5" t="inlineStr">
        <is>
          <t>None</t>
        </is>
      </c>
      <c r="K46" s="5" t="inlineStr">
        <is>
          <t>No administrative roles assigned</t>
        </is>
      </c>
    </row>
    <row r="47">
      <c r="A47" s="2" t="inlineStr">
        <is>
          <t>Soumya Banerjee</t>
        </is>
      </c>
      <c r="B47" s="2" t="n">
        <v>1</v>
      </c>
      <c r="C47" s="3" t="n">
        <v>636.04</v>
      </c>
      <c r="D47" s="3" t="n">
        <v>296.84</v>
      </c>
      <c r="E47" s="3" t="n">
        <v>164.2</v>
      </c>
      <c r="F47" s="3" t="n">
        <v>175</v>
      </c>
      <c r="G47" s="4" t="inlineStr">
        <is>
          <t>AURO (20cr): New lecturer (5x): 6.0h base @ 2.5x + content dev = 30h; Assessment setting: 2 paper(s) set (1 assessment(s), manual): 15.0h each (2.5h main + 2.5h resit); 104 scripts + 20 resits (assuming 20% of students resit) x 0.330h = 40.9h total (34.3h initial + 6.6h resit), 13.6h per teacher; ELLA (20cr): New lecturer (5x): 6.0h base @ 2.5x + content dev = 30h; Assessment setting: 2 paper(s) set (1 assessment(s), manual): 15.0h each (2.5h main + 2.5h resit); 100 scripts + 20 resits (assuming 20% of students resit) x 0.330h = 39.6h total (33.0h initial + 6.6h resit), 13.2h per teacher; Project setting (fixed): 6.0h; Pastoral: 25 students x 3h = 75.0h; Projects: 7 projects x UG (16h) = 112.0h</t>
        </is>
      </c>
      <c r="H47" s="4" t="inlineStr">
        <is>
          <t>No research activities recorded</t>
        </is>
      </c>
      <c r="I47" s="4" t="inlineStr">
        <is>
          <t>Engagement (email/meetings): 100.0h; Personal development: 75.0h (FTE: 1.00)</t>
        </is>
      </c>
      <c r="J47" s="5" t="inlineStr">
        <is>
          <t>Module had 0 students - marking not calculated</t>
        </is>
      </c>
      <c r="K47" s="5" t="inlineStr">
        <is>
          <t>No administrative roles assigned</t>
        </is>
      </c>
    </row>
    <row r="48">
      <c r="A48" s="2" t="inlineStr">
        <is>
          <t>Stefano Pirandola</t>
        </is>
      </c>
      <c r="B48" s="2" t="n">
        <v>1</v>
      </c>
      <c r="C48" s="3" t="n">
        <v>1175.015</v>
      </c>
      <c r="D48" s="3" t="n">
        <v>233.315</v>
      </c>
      <c r="E48" s="3" t="n">
        <v>520.4000000000001</v>
      </c>
      <c r="F48" s="3" t="n">
        <v>421.3</v>
      </c>
      <c r="G48" s="4" t="inlineStr">
        <is>
          <t>QUCO (20cr): Standard (2.5x): 8.5h/teacher @ 2.5x = 21.2h; Assessment setting: 2 paper(s) set (1 assessment(s), manual): 15.0h each (3.8h main + 3.8h resit); 51 scripts + 10 resits (assuming 20% of students resit) x 0.330h = 20.1h total (16.8h initial + 3.3h resit), 10.1h per teacher; Project setting (fixed): 6.0h; Pastoral: 25 students x 3h = 75.0h; Projects: 7 projects x UG (16h) = 112.0h</t>
        </is>
      </c>
      <c r="H48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8" s="4" t="inlineStr">
        <is>
          <t>Progression Panel Chair: 15% of 1642h = 246.3h; Engagement (email/meetings): 100.0h; Personal development: 75.0h (FTE: 1.00)</t>
        </is>
      </c>
      <c r="J48" s="5" t="inlineStr">
        <is>
          <t>None</t>
        </is>
      </c>
      <c r="K48" s="5" t="inlineStr">
        <is>
          <t>None</t>
        </is>
      </c>
    </row>
    <row r="49">
      <c r="A49" s="2" t="inlineStr">
        <is>
          <t>Steven Wright</t>
        </is>
      </c>
      <c r="B49" s="2" t="n">
        <v>1</v>
      </c>
      <c r="C49" s="3" t="n">
        <v>782.91</v>
      </c>
      <c r="D49" s="3" t="n">
        <v>155.71</v>
      </c>
      <c r="E49" s="3" t="n">
        <v>452.2</v>
      </c>
      <c r="F49" s="3" t="n">
        <v>175</v>
      </c>
      <c r="G49" s="4" t="inlineStr">
        <is>
          <t>HIPC (20cr): Standard (2.5x): 9.0h/teacher @ 2.5x = 22.5h; Assessment setting: 2 paper(s) set (1 assessment(s), manual): 15.0h each (3.8h main + 3.8h resit); 62 scripts + 12 resits (assuming 20% of students resit) x 0.330h = 24.4h total (20.5h initial + 4.0h resit), 12.2h per teacher; Project setting (fixed): 6.0h; Pastoral: 14 students x 3h = 42.0h; Projects: 4 projects x UG (16h) = 64.0h</t>
        </is>
      </c>
      <c r="H49" s="4" t="inlineStr">
        <is>
          <t>PhD supervision: 3x full-time PhD student × 80h/FTE; 1x part-time PhD student × 48h/FTE = 288.0h</t>
        </is>
      </c>
      <c r="I49" s="4" t="inlineStr">
        <is>
          <t>Chair of the Board of Examiners: 0% of 1642h = 0.0h;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</row>
    <row r="50">
      <c r="A50" s="2" t="inlineStr">
        <is>
          <t>Steven Xiaotian Dai</t>
        </is>
      </c>
      <c r="B50" s="2" t="n">
        <v>1</v>
      </c>
      <c r="C50" s="3" t="n">
        <v>1052.82</v>
      </c>
      <c r="D50" s="3" t="n">
        <v>199.12</v>
      </c>
      <c r="E50" s="3" t="n">
        <v>350.3</v>
      </c>
      <c r="F50" s="3" t="n">
        <v>503.4</v>
      </c>
      <c r="G50" s="4" t="inlineStr">
        <is>
          <t>EMBS (20cr): Standard (2.5x): 9.0h/teacher @ 2.5x = 22.5h; Assessment setting: 2 paper(s) set (1 assessment(s), manual): 15.0h each (3.8h main + 3.8h resit); 45 scripts + 9 resits (assuming 20% of students resit) x 0.330h = 17.8h total (14.9h initial + 3.0h resit), 8.9h per teacher; HIPC (20cr): Standard (2.5x): 9.0h/teacher @ 2.5x = 22.5h; Assessment setting: 2 paper(s) set (1 assessment(s), manual): 15.0h each (3.8h main + 3.8h resit); 62 scripts + 12 resits (assuming 20% of students resit) x 0.330h = 24.4h total (20.5h initial + 4.0h resit), 12.2h per teacher; Project setting (fixed): 6.0h; Pastoral: 15 students x 3h = 45.0h; Projects: 4 projects x UG (16h) = 64.0h</t>
        </is>
      </c>
      <c r="H50" s="4" t="inlineStr">
        <is>
          <t>PhD supervision: 2x part-time PhD student × 48h/FTE; 1x assessor (8h each) = 104.0h; Grant SCHEME: 5% of 1642h = 82.1h</t>
        </is>
      </c>
      <c r="I50" s="4" t="inlineStr">
        <is>
          <t>Student Disability Representative: 20% of 1642h = 328.4h;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</row>
    <row r="51">
      <c r="A51" s="2" t="inlineStr">
        <is>
          <t>Tommy Yuan</t>
        </is>
      </c>
      <c r="B51" s="2" t="n">
        <v>1</v>
      </c>
      <c r="C51" s="3" t="n">
        <v>1123.58</v>
      </c>
      <c r="D51" s="3" t="n">
        <v>420.18</v>
      </c>
      <c r="E51" s="3" t="n">
        <v>364.2</v>
      </c>
      <c r="F51" s="3" t="n">
        <v>339.2</v>
      </c>
      <c r="G51" s="4" t="inlineStr">
        <is>
          <t>ARIA (20cr): Existing lecturer + new content (5x): 45h; Assessment setting: 2 paper(s) set (1 assessment(s), manual): 15.0h each (3.8h main + 3.8h resit); 100 scripts + 20 resits (assuming 20% of students resit) x 0.330h = 39.6h total (33.0h initial + 6.6h resit), 19.8h per teacher; ENG1 (20cr): Standard (2.5x): 6.0h/teacher @ 2.5x = 15.0h; Assessment setting: 4 paper(s) set (2 assessment(s), manual): 15.0h each (5.0h main + 5.0h resit); 315 scripts + 63 resits (assuming 20% of students resit) x 0.330h = 124.7h total (104.0h initial + 20.8h resit), 41.6h per teacher; FOAM (20cr): Existing lecturer + new content (5x): 45h; Assessment setting: 2 paper(s) set (1 assessment(s), manual): 15.0h each (3.8h main + 3.8h resit); 100 scripts + 20 resits (assuming 20% of students resit) x 0.330h = 39.6h total (33.0h initial + 6.6h resit), 19.8h per teacher; Project setting (fixed): 6.0h; Pastoral: 18 students x 3h = 54.0h; Projects: 9 projects x UG (16h) = 144.0h</t>
        </is>
      </c>
      <c r="H51" s="4" t="inlineStr">
        <is>
          <t>PhD supervision: 1x full-time PhD student × 80h/FTE; 2x part-time PhD student × 48h/FTE; 3x assessor (8h each) = 200.0h</t>
        </is>
      </c>
      <c r="I51" s="4" t="inlineStr">
        <is>
          <t>CSCSE SQA Partnership Leader: 0% of 1642h = 0.0h; Deputy CBoEs: 10% of 1642h = 164.2h; StAMP committee members: 0% of 1642h = 0.0h; Engagement (email/meetings): 100.0h; Personal development: 75.0h (FTE: 1.00)</t>
        </is>
      </c>
      <c r="J51" s="5" t="inlineStr">
        <is>
          <t>Module had 0 students - marking not calculated; Module had 0 students - marking not calculated</t>
        </is>
      </c>
      <c r="K51" s="5" t="inlineStr">
        <is>
          <t>None</t>
        </is>
      </c>
    </row>
    <row r="52">
      <c r="A52" s="2" t="inlineStr">
        <is>
          <t>Vasileios Vasilakis</t>
        </is>
      </c>
      <c r="B52" s="2" t="n">
        <v>1</v>
      </c>
      <c r="C52" s="3" t="n">
        <v>943.1950000000001</v>
      </c>
      <c r="D52" s="3" t="n">
        <v>247.795</v>
      </c>
      <c r="E52" s="3" t="n">
        <v>356.2</v>
      </c>
      <c r="F52" s="3" t="n">
        <v>339.2</v>
      </c>
      <c r="G52" s="4" t="inlineStr">
        <is>
          <t>NETS (20cr): Standard (2.5x): 9.0h/teacher @ 2.5x = 22.5h; Assessment setting: 2 paper(s) set (1 assessment(s), manual): 15.0h each (3.8h main + 3.8h resit); 103 scripts + 20 resits (assuming 20% of students resit) x 0.330h = 40.6h total (34.0h initial + 6.6h resit), 20.3h per teacher; Project setting (fixed): 6.0h; Pastoral: 26 students x 3h = 78.0h; Projects: 7 projects x UG (16h) = 112.0h</t>
        </is>
      </c>
      <c r="H52" s="4" t="inlineStr">
        <is>
          <t>PhD supervision: 1x full-time PhD student × 80h/FTE; 2x part-time PhD student × 48h/FTE; 2x assessor (8h each) = 192.0h</t>
        </is>
      </c>
      <c r="I52" s="4" t="inlineStr">
        <is>
          <t>Deputy CBoEs: 10% of 1642h = 164.2h; Engagement (email/meetings): 100.0h; Personal development: 75.0h (FTE: 1.00)</t>
        </is>
      </c>
      <c r="J52" s="5" t="inlineStr">
        <is>
          <t>None</t>
        </is>
      </c>
      <c r="K52" s="5" t="inlineStr">
        <is>
          <t>None</t>
        </is>
      </c>
    </row>
    <row r="53">
      <c r="A53" s="2" t="inlineStr">
        <is>
          <t>William Smith</t>
        </is>
      </c>
      <c r="B53" s="2" t="n">
        <v>1</v>
      </c>
      <c r="C53" s="3" t="n">
        <v>1195.26</v>
      </c>
      <c r="D53" s="3" t="n">
        <v>220.91</v>
      </c>
      <c r="E53" s="3" t="n">
        <v>676.2</v>
      </c>
      <c r="F53" s="3" t="n">
        <v>298.15</v>
      </c>
      <c r="G53" s="4" t="inlineStr">
        <is>
          <t>DEEP (20cr): Standard (2.5x): 9.0h/teacher @ 2.5x = 22.5h; Assessment setting: 2 paper(s) set (1 assessment(s), manual): 15.0h each (3.8h main + 3.8h resit); 130 scripts + 26 resits (assuming 20% of students resit) x 0.330h = 51.5h total (42.9h initial + 8.6h resit), 25.7h per teacher; ROCS (20cr): Standard (2.5x): 9.0h/teacher @ 2.5x = 22.5h; Assessment setting: 4 paper(s) set (2 assessment(s), manual): 15.0h each (7.5h main + 7.5h resit); 82 scripts + 16 resits (assuming 20% of students resit) x 0.330h = 32.3h total (27.1h initial + 5.3h resit), 16.2h per teacher; Project setting (fixed): 6.0h; Pastoral: 7 students x 3h = 21.0h; Projects: 5 projects x UG (16h) = 80.0h</t>
        </is>
      </c>
      <c r="H53" s="4" t="inlineStr">
        <is>
          <t>PhD supervision: 4x full-time PhD student × 80h/FTE; 3x part-time PhD student × 48h/FTE; 6x assessor (8h each) = 512.0h</t>
        </is>
      </c>
      <c r="I53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3" s="5" t="inlineStr">
        <is>
          <t>Module had 0 students - marking not calculated</t>
        </is>
      </c>
      <c r="K53" s="5" t="inlineStr">
        <is>
          <t>None</t>
        </is>
      </c>
    </row>
    <row r="54">
      <c r="A54" s="2" t="inlineStr">
        <is>
          <t>Xinwei Fang</t>
        </is>
      </c>
      <c r="B54" s="2" t="n">
        <v>1</v>
      </c>
      <c r="C54" s="3" t="n">
        <v>817.8049999999999</v>
      </c>
      <c r="D54" s="3" t="n">
        <v>316.505</v>
      </c>
      <c r="E54" s="3" t="n">
        <v>244.2</v>
      </c>
      <c r="F54" s="3" t="n">
        <v>257.1</v>
      </c>
      <c r="G54" s="4" t="inlineStr">
        <is>
          <t>DATA (20cr): Standard (2.5x): 9.0h/teacher @ 2.5x = 22.5h; Assessment setting: 2 paper(s) set (1 assessment(s), manual): 15.0h each (3.8h main + 3.8h resit); 296 scripts + 59 resits (assuming 20% of students resit) x 0.330h = 117.2h total (97.7h initial + 19.5h resit), 58.6h per teacher; GPIG (40cr): Standard (2.5x): 19.0h/teacher @ 2.5x = 47.5h; Assessment setting: 6 paper(s) set (3 assessment(s), manual): 15.0h each (11.2h main + 11.2h resit); 35 scripts + 7 resits (assuming 20% of students resit) x 0.330h = 13.9h total (11.6h initial + 2.3h resit), 6.9h per teacher; Project setting (fixed): 6.0h; Pastoral: 9 students x 3h = 27.0h; Projects: 7 projects x UG (16h) = 112.0h</t>
        </is>
      </c>
      <c r="H54" s="4" t="inlineStr">
        <is>
          <t>PhD supervision: 1x full-time PhD student × 80h/FTE = 80.0h</t>
        </is>
      </c>
      <c r="I54" s="4" t="inlineStr">
        <is>
          <t>Other PLs: 5% of 1642h = 82.1h;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</row>
    <row r="55">
      <c r="A55" s="2" t="inlineStr">
        <is>
          <t>Yan Jia</t>
        </is>
      </c>
      <c r="B55" s="2" t="n">
        <v>1</v>
      </c>
      <c r="C55" s="3" t="n">
        <v>897.37</v>
      </c>
      <c r="D55" s="3" t="n">
        <v>83.67</v>
      </c>
      <c r="E55" s="3" t="n">
        <v>638.7</v>
      </c>
      <c r="F55" s="3" t="n">
        <v>175</v>
      </c>
      <c r="G55" s="4" t="inlineStr">
        <is>
          <t>ROCS (20cr): Standard (2.5x): 9.0h/teacher @ 2.5x = 22.5h; Assessment setting: 4 paper(s) set (2 assessment(s), manual): 15.0h each (7.5h main + 7.5h resit); 82 scripts + 16 resits (assuming 20% of students resit) x 0.330h = 32.3h total (27.1h initial + 5.3h resit), 16.2h per teacher; Pastoral: 9 students x 3h = 27.0h; Also teaches: Designing Safe AI (Safe AI 2), Foundations of Safe AI (Safe AI 1) (SAINTS - not included in workload)</t>
        </is>
      </c>
      <c r="H55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5" s="4" t="inlineStr">
        <is>
          <t>Engagement (email/meetings): 100.0h; Personal development: 75.0h (FTE: 1.00)</t>
        </is>
      </c>
      <c r="J55" s="5" t="inlineStr">
        <is>
          <t>None</t>
        </is>
      </c>
      <c r="K55" s="5" t="inlineStr">
        <is>
          <t>No administrative roles assigned</t>
        </is>
      </c>
    </row>
    <row r="56">
      <c r="A56" s="2" t="inlineStr">
        <is>
          <t>Yuchen Zhao</t>
        </is>
      </c>
      <c r="B56" s="2" t="n">
        <v>1</v>
      </c>
      <c r="C56" s="3" t="n">
        <v>733.6500000000001</v>
      </c>
      <c r="D56" s="3" t="n">
        <v>296.35</v>
      </c>
      <c r="E56" s="3" t="n">
        <v>180.2</v>
      </c>
      <c r="F56" s="3" t="n">
        <v>257.1</v>
      </c>
      <c r="G56" s="4" t="inlineStr">
        <is>
          <t>EHAC (20cr): Standard (2.5x): 9.0h/teacher @ 2.5x = 22.5h; Assessment setting: 4 paper(s) set (2 assessment(s), manual): 15.0h each (7.5h main + 7.5h resit); 56 scripts + 11 resits (assuming 20% of students resit) x 0.330h = 22.1h total (18.5h initial + 3.6h resit), 11.1h per teacher; NETS (20cr): Standard (2.5x): 9.0h/teacher @ 2.5x = 22.5h; Assessment setting: 2 paper(s) set (1 assessment(s), manual): 15.0h each (3.8h main + 3.8h resit); 103 scripts + 20 resits (assuming 20% of students resit) x 0.330h = 40.6h total (34.0h initial + 6.6h resit), 20.3h per teacher; Project setting (fixed): 6.0h; Pastoral: 25 students x 3h = 75.0h; Projects: 7 projects x UG (16h) = 112.0h</t>
        </is>
      </c>
      <c r="H56" s="4" t="inlineStr">
        <is>
          <t>PhD supervision: 2x assessor (8h each) = 16.0h</t>
        </is>
      </c>
      <c r="I56" s="4" t="inlineStr">
        <is>
          <t>Other PLs: 5% of 1642h = 82.1h; Engagement (email/meetings): 100.0h; Personal development: 75.0h (FTE: 1.00)</t>
        </is>
      </c>
      <c r="J56" s="5" t="inlineStr">
        <is>
          <t>None</t>
        </is>
      </c>
      <c r="K56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292.3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288.415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192.2166666666667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Andrew Pomfret</t>
        </is>
      </c>
      <c r="B5" s="7" t="n">
        <v>297.1433333333333</v>
      </c>
      <c r="C5" s="7" t="n">
        <v>164.2</v>
      </c>
      <c r="D5" s="7" t="n">
        <v>257.1</v>
      </c>
      <c r="E5" s="7">
        <f>SUM(B5:D5)</f>
        <v/>
      </c>
    </row>
    <row r="6">
      <c r="A6" t="inlineStr">
        <is>
          <t>Antonio Garcia-Dominguez</t>
        </is>
      </c>
      <c r="B6" s="7" t="n">
        <v>169.12</v>
      </c>
      <c r="C6" s="7" t="n">
        <v>644.6000000000001</v>
      </c>
      <c r="D6" s="7" t="n">
        <v>175</v>
      </c>
      <c r="E6" s="7">
        <f>SUM(B6:D6)</f>
        <v/>
      </c>
    </row>
    <row r="7">
      <c r="A7" t="inlineStr">
        <is>
          <t>Carlo Ottaviani</t>
        </is>
      </c>
      <c r="B7" s="7" t="n">
        <v>270.3816666666667</v>
      </c>
      <c r="C7" s="7" t="n">
        <v>268.2</v>
      </c>
      <c r="D7" s="7" t="n">
        <v>339.2</v>
      </c>
      <c r="E7" s="7">
        <f>SUM(B7:D7)</f>
        <v/>
      </c>
    </row>
    <row r="8">
      <c r="A8" t="inlineStr">
        <is>
          <t>Christopher Crispin-Bailey</t>
        </is>
      </c>
      <c r="B8" s="7" t="n">
        <v>290.6533333333333</v>
      </c>
      <c r="C8" s="7" t="n">
        <v>164.2</v>
      </c>
      <c r="D8" s="7" t="n">
        <v>462.35</v>
      </c>
      <c r="E8" s="7">
        <f>SUM(B8:D8)</f>
        <v/>
      </c>
    </row>
    <row r="9">
      <c r="A9" t="inlineStr">
        <is>
          <t>Claire Ingram</t>
        </is>
      </c>
      <c r="B9" s="7" t="n">
        <v>211.885</v>
      </c>
      <c r="C9" s="7" t="n">
        <v>164.2</v>
      </c>
      <c r="D9" s="7" t="n">
        <v>257.1</v>
      </c>
      <c r="E9" s="7">
        <f>SUM(B9:D9)</f>
        <v/>
      </c>
    </row>
    <row r="10">
      <c r="A10" t="inlineStr">
        <is>
          <t>Claudio Guarnera</t>
        </is>
      </c>
      <c r="B10" s="7" t="n">
        <v>151.04</v>
      </c>
      <c r="C10" s="7" t="n">
        <v>276.2</v>
      </c>
      <c r="D10" s="7" t="n">
        <v>175</v>
      </c>
      <c r="E10" s="7">
        <f>SUM(B10:D10)</f>
        <v/>
      </c>
    </row>
    <row r="11">
      <c r="A11" t="inlineStr">
        <is>
          <t>Colin Paterson</t>
        </is>
      </c>
      <c r="B11" s="7" t="n">
        <v>228.8</v>
      </c>
      <c r="C11" s="7" t="n">
        <v>579.76</v>
      </c>
      <c r="D11" s="7" t="n">
        <v>175</v>
      </c>
      <c r="E11" s="7">
        <f>SUM(B11:D11)</f>
        <v/>
      </c>
    </row>
    <row r="12">
      <c r="A12" t="inlineStr">
        <is>
          <t>Da Li</t>
        </is>
      </c>
      <c r="B12" s="7" t="n">
        <v>267.8</v>
      </c>
      <c r="C12" s="7" t="n">
        <v>164.2</v>
      </c>
      <c r="D12" s="7" t="n">
        <v>175</v>
      </c>
      <c r="E12" s="7">
        <f>SUM(B12:D12)</f>
        <v/>
      </c>
    </row>
    <row r="13">
      <c r="A13" t="inlineStr">
        <is>
          <t>Dawn H Wood</t>
        </is>
      </c>
      <c r="B13" s="7" t="n">
        <v>324.1833333333333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Detlef Plump</t>
        </is>
      </c>
      <c r="B14" s="7" t="n">
        <v>314.66</v>
      </c>
      <c r="C14" s="7" t="n">
        <v>260.2</v>
      </c>
      <c r="D14" s="7" t="n">
        <v>503.4</v>
      </c>
      <c r="E14" s="7">
        <f>SUM(B14:D14)</f>
        <v/>
      </c>
    </row>
    <row r="15">
      <c r="A15" t="inlineStr">
        <is>
          <t>Dimitar Kazakov</t>
        </is>
      </c>
      <c r="B15" s="7" t="n">
        <v>244.3</v>
      </c>
      <c r="C15" s="7" t="n">
        <v>620.2</v>
      </c>
      <c r="D15" s="7" t="n">
        <v>339.2</v>
      </c>
      <c r="E15" s="7">
        <f>SUM(B15:D15)</f>
        <v/>
      </c>
    </row>
    <row r="16">
      <c r="A16" t="inlineStr">
        <is>
          <t>Dimitris Kolovos</t>
        </is>
      </c>
      <c r="B16" s="7" t="n">
        <v>28.92</v>
      </c>
      <c r="C16" s="7" t="n">
        <v>1114.9</v>
      </c>
      <c r="D16" s="7" t="n">
        <v>175</v>
      </c>
      <c r="E16" s="7">
        <f>SUM(B16:D16)</f>
        <v/>
      </c>
    </row>
    <row r="17">
      <c r="A17" t="inlineStr">
        <is>
          <t>Fang Yan</t>
        </is>
      </c>
      <c r="B17" s="7" t="n">
        <v>240.8133333333333</v>
      </c>
      <c r="C17" s="7" t="n">
        <v>164.2</v>
      </c>
      <c r="D17" s="7" t="n">
        <v>175</v>
      </c>
      <c r="E17" s="7">
        <f>SUM(B17:D17)</f>
        <v/>
      </c>
    </row>
    <row r="18">
      <c r="A18" t="inlineStr">
        <is>
          <t>Felix Ulrich-Oltean</t>
        </is>
      </c>
      <c r="B18" s="7" t="n">
        <v>38.43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Frank Soboczenski</t>
        </is>
      </c>
      <c r="B19" s="7" t="n">
        <v>51.3</v>
      </c>
      <c r="C19" s="7" t="n">
        <v>1794.42</v>
      </c>
      <c r="D19" s="7" t="n">
        <v>257.1</v>
      </c>
      <c r="E19" s="7">
        <f>SUM(B19:D19)</f>
        <v/>
      </c>
    </row>
    <row r="20">
      <c r="A20" t="inlineStr">
        <is>
          <t>Iain Bate</t>
        </is>
      </c>
      <c r="B20" s="7" t="n">
        <v>30</v>
      </c>
      <c r="C20" s="7" t="n">
        <v>588.6</v>
      </c>
      <c r="D20" s="7" t="n">
        <v>1817</v>
      </c>
      <c r="E20" s="7">
        <f>SUM(B20:D20)</f>
        <v/>
      </c>
    </row>
    <row r="21">
      <c r="A21" t="inlineStr">
        <is>
          <t>Ian Gray</t>
        </is>
      </c>
      <c r="B21" s="7" t="n">
        <v>40.41</v>
      </c>
      <c r="C21" s="7" t="n">
        <v>348.2</v>
      </c>
      <c r="D21" s="7" t="n">
        <v>996</v>
      </c>
      <c r="E21" s="7">
        <f>SUM(B21:D21)</f>
        <v/>
      </c>
    </row>
    <row r="22">
      <c r="A22" t="inlineStr">
        <is>
          <t>Jacob Rigby</t>
        </is>
      </c>
      <c r="B22" s="7" t="n">
        <v>331.78</v>
      </c>
      <c r="C22" s="7" t="n">
        <v>246.3</v>
      </c>
      <c r="D22" s="7" t="n">
        <v>339.2</v>
      </c>
      <c r="E22" s="7">
        <f>SUM(B22:D22)</f>
        <v/>
      </c>
    </row>
    <row r="23">
      <c r="A23" t="inlineStr">
        <is>
          <t>James Stovold</t>
        </is>
      </c>
      <c r="B23" s="7" t="n">
        <v>354.04</v>
      </c>
      <c r="C23" s="7" t="n">
        <v>164.2</v>
      </c>
      <c r="D23" s="7" t="n">
        <v>257.1</v>
      </c>
      <c r="E23" s="7">
        <f>SUM(B23:D23)</f>
        <v/>
      </c>
    </row>
    <row r="24">
      <c r="A24" t="inlineStr">
        <is>
          <t>James Walker</t>
        </is>
      </c>
      <c r="B24" s="7" t="n">
        <v>248.04</v>
      </c>
      <c r="C24" s="7" t="n">
        <v>1000.8</v>
      </c>
      <c r="D24" s="7" t="n">
        <v>175</v>
      </c>
      <c r="E24" s="7">
        <f>SUM(B24:D24)</f>
        <v/>
      </c>
    </row>
    <row r="25">
      <c r="A25" t="inlineStr">
        <is>
          <t>Jen Beeston</t>
        </is>
      </c>
      <c r="B25" s="7" t="n">
        <v>259.8</v>
      </c>
      <c r="C25" s="7" t="n">
        <v>332.2</v>
      </c>
      <c r="D25" s="7" t="n">
        <v>175</v>
      </c>
      <c r="E25" s="7">
        <f>SUM(B25:D25)</f>
        <v/>
      </c>
    </row>
    <row r="26">
      <c r="A26" t="inlineStr">
        <is>
          <t>Jo Iacovides</t>
        </is>
      </c>
      <c r="B26" s="7" t="n">
        <v>240.355</v>
      </c>
      <c r="C26" s="7" t="n">
        <v>348.2</v>
      </c>
      <c r="D26" s="7" t="n">
        <v>339.2</v>
      </c>
      <c r="E26" s="7">
        <f>SUM(B26:D26)</f>
        <v/>
      </c>
    </row>
    <row r="27">
      <c r="A27" t="inlineStr">
        <is>
          <t>Joe Cutting</t>
        </is>
      </c>
      <c r="B27" s="7" t="n">
        <v>251.035</v>
      </c>
      <c r="C27" s="7" t="n">
        <v>228.2</v>
      </c>
      <c r="D27" s="7" t="n">
        <v>175</v>
      </c>
      <c r="E27" s="7">
        <f>SUM(B27:D27)</f>
        <v/>
      </c>
    </row>
    <row r="28">
      <c r="A28" t="inlineStr">
        <is>
          <t>Katrina Attwood</t>
        </is>
      </c>
      <c r="B28" s="7" t="n">
        <v>323.56</v>
      </c>
      <c r="C28" s="7" t="n">
        <v>212.2</v>
      </c>
      <c r="D28" s="7" t="n">
        <v>503.4</v>
      </c>
      <c r="E28" s="7">
        <f>SUM(B28:D28)</f>
        <v/>
      </c>
    </row>
    <row r="29">
      <c r="A29" t="inlineStr">
        <is>
          <t>Kofi Appiah</t>
        </is>
      </c>
      <c r="B29" s="7" t="n">
        <v>275.1833333333333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Kostas Barmpis</t>
        </is>
      </c>
      <c r="B30" s="7" t="n">
        <v>281.5</v>
      </c>
      <c r="C30" s="7" t="n">
        <v>548.6</v>
      </c>
      <c r="D30" s="7" t="n">
        <v>175</v>
      </c>
      <c r="E30" s="7">
        <f>SUM(B30:D30)</f>
        <v/>
      </c>
    </row>
    <row r="31">
      <c r="A31" t="inlineStr">
        <is>
          <t>Mike Freeman</t>
        </is>
      </c>
      <c r="B31" s="7" t="n">
        <v>318.1433333333333</v>
      </c>
      <c r="C31" s="7" t="n">
        <v>164.2</v>
      </c>
      <c r="D31" s="7" t="n">
        <v>257.1</v>
      </c>
      <c r="E31" s="7">
        <f>SUM(B31:D31)</f>
        <v/>
      </c>
    </row>
    <row r="32">
      <c r="A32" t="inlineStr">
        <is>
          <t>Mike O'Dea</t>
        </is>
      </c>
      <c r="B32" s="7" t="n">
        <v>72.075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Nick Pears</t>
        </is>
      </c>
      <c r="B33" s="7" t="n">
        <v>180.0133333333333</v>
      </c>
      <c r="C33" s="7" t="n">
        <v>428.2</v>
      </c>
      <c r="D33" s="7" t="n">
        <v>831.8000000000001</v>
      </c>
      <c r="E33" s="7">
        <f>SUM(B33:D33)</f>
        <v/>
      </c>
    </row>
    <row r="34">
      <c r="A34" t="inlineStr">
        <is>
          <t>Paul Cairns</t>
        </is>
      </c>
      <c r="B34" s="7" t="n">
        <v>136.145</v>
      </c>
      <c r="C34" s="7" t="n">
        <v>1012.6</v>
      </c>
      <c r="D34" s="7" t="n">
        <v>339.2</v>
      </c>
      <c r="E34" s="7">
        <f>SUM(B34:D34)</f>
        <v/>
      </c>
    </row>
    <row r="35">
      <c r="A35" t="inlineStr">
        <is>
          <t>Pedro Ribeiro</t>
        </is>
      </c>
      <c r="B35" s="7" t="n">
        <v>213.93</v>
      </c>
      <c r="C35" s="7" t="n">
        <v>644.6</v>
      </c>
      <c r="D35" s="7" t="n">
        <v>339.2</v>
      </c>
      <c r="E35" s="7">
        <f>SUM(B35:D35)</f>
        <v/>
      </c>
    </row>
    <row r="36">
      <c r="A36" t="inlineStr">
        <is>
          <t>Pengcheng Liu</t>
        </is>
      </c>
      <c r="B36" s="7" t="n">
        <v>141.3</v>
      </c>
      <c r="C36" s="7" t="n">
        <v>996.5800000000002</v>
      </c>
      <c r="D36" s="7" t="n">
        <v>175</v>
      </c>
      <c r="E36" s="7">
        <f>SUM(B36:D36)</f>
        <v/>
      </c>
    </row>
    <row r="37">
      <c r="A37" t="inlineStr">
        <is>
          <t>Peter Nightingale</t>
        </is>
      </c>
      <c r="B37" s="7" t="n">
        <v>326.03</v>
      </c>
      <c r="C37" s="7" t="n">
        <v>300.2</v>
      </c>
      <c r="D37" s="7" t="n">
        <v>339.2</v>
      </c>
      <c r="E37" s="7">
        <f>SUM(B37:D37)</f>
        <v/>
      </c>
    </row>
    <row r="38">
      <c r="A38" t="inlineStr">
        <is>
          <t>Poonam Yadav</t>
        </is>
      </c>
      <c r="B38" s="7" t="n">
        <v>177.12</v>
      </c>
      <c r="C38" s="7" t="n">
        <v>1112.8</v>
      </c>
      <c r="D38" s="7" t="n">
        <v>339.2</v>
      </c>
      <c r="E38" s="7">
        <f>SUM(B38:D38)</f>
        <v/>
      </c>
    </row>
    <row r="39">
      <c r="A39" t="inlineStr">
        <is>
          <t>Pourya Shamsolmoali</t>
        </is>
      </c>
      <c r="B39" s="7" t="n">
        <v>242.115</v>
      </c>
      <c r="C39" s="7" t="n">
        <v>228.2</v>
      </c>
      <c r="D39" s="7" t="n">
        <v>298.15</v>
      </c>
      <c r="E39" s="7">
        <f>SUM(B39:D39)</f>
        <v/>
      </c>
    </row>
    <row r="40">
      <c r="A40" t="inlineStr">
        <is>
          <t>Radu Calinescu</t>
        </is>
      </c>
      <c r="B40" s="7" t="n">
        <v>130.43</v>
      </c>
      <c r="C40" s="7" t="n">
        <v>918.7</v>
      </c>
      <c r="D40" s="7" t="n">
        <v>175</v>
      </c>
      <c r="E40" s="7">
        <f>SUM(B40:D40)</f>
        <v/>
      </c>
    </row>
    <row r="41">
      <c r="A41" t="inlineStr">
        <is>
          <t>Rob Alexander</t>
        </is>
      </c>
      <c r="B41" s="7" t="n">
        <v>199.885</v>
      </c>
      <c r="C41" s="7" t="n">
        <v>398.3</v>
      </c>
      <c r="D41" s="7" t="n">
        <v>175</v>
      </c>
      <c r="E41" s="7">
        <f>SUM(B41:D41)</f>
        <v/>
      </c>
    </row>
    <row r="42">
      <c r="A42" t="inlineStr">
        <is>
          <t>Robbert Jongeling</t>
        </is>
      </c>
      <c r="B42" s="7" t="n">
        <v>184.28</v>
      </c>
      <c r="C42" s="7" t="n">
        <v>164.2</v>
      </c>
      <c r="D42" s="7" t="n">
        <v>175</v>
      </c>
      <c r="E42" s="7">
        <f>SUM(B42:D42)</f>
        <v/>
      </c>
    </row>
    <row r="43">
      <c r="A43" t="inlineStr">
        <is>
          <t>Roberto Metere</t>
        </is>
      </c>
      <c r="B43" s="7" t="n">
        <v>302.2416666666667</v>
      </c>
      <c r="C43" s="7" t="n">
        <v>268.2</v>
      </c>
      <c r="D43" s="7" t="n">
        <v>175</v>
      </c>
      <c r="E43" s="7">
        <f>SUM(B43:D43)</f>
        <v/>
      </c>
    </row>
    <row r="44">
      <c r="A44" t="inlineStr">
        <is>
          <t>Sam Braunstein</t>
        </is>
      </c>
      <c r="B44" s="7" t="n">
        <v>234.8916666666667</v>
      </c>
      <c r="C44" s="7" t="n">
        <v>164.2</v>
      </c>
      <c r="D44" s="7" t="n">
        <v>175</v>
      </c>
      <c r="E44" s="7">
        <f>SUM(B44:D44)</f>
        <v/>
      </c>
    </row>
    <row r="45">
      <c r="A45" t="inlineStr">
        <is>
          <t>Siamak Shahandashti</t>
        </is>
      </c>
      <c r="B45" s="7" t="n">
        <v>259.84</v>
      </c>
      <c r="C45" s="7" t="n">
        <v>478.3</v>
      </c>
      <c r="D45" s="7" t="n">
        <v>339.2</v>
      </c>
      <c r="E45" s="7">
        <f>SUM(B45:D45)</f>
        <v/>
      </c>
    </row>
    <row r="46">
      <c r="A46" t="inlineStr">
        <is>
          <t>Simon Foster</t>
        </is>
      </c>
      <c r="B46" s="7" t="n">
        <v>233.5966666666667</v>
      </c>
      <c r="C46" s="7" t="n">
        <v>276.2</v>
      </c>
      <c r="D46" s="7" t="n">
        <v>175</v>
      </c>
      <c r="E46" s="7">
        <f>SUM(B46:D46)</f>
        <v/>
      </c>
    </row>
    <row r="47">
      <c r="A47" t="inlineStr">
        <is>
          <t>Soumya Banerjee</t>
        </is>
      </c>
      <c r="B47" s="7" t="n">
        <v>296.84</v>
      </c>
      <c r="C47" s="7" t="n">
        <v>164.2</v>
      </c>
      <c r="D47" s="7" t="n">
        <v>175</v>
      </c>
      <c r="E47" s="7">
        <f>SUM(B47:D47)</f>
        <v/>
      </c>
    </row>
    <row r="48">
      <c r="A48" t="inlineStr">
        <is>
          <t>Stefano Pirandola</t>
        </is>
      </c>
      <c r="B48" s="7" t="n">
        <v>233.315</v>
      </c>
      <c r="C48" s="7" t="n">
        <v>520.4000000000001</v>
      </c>
      <c r="D48" s="7" t="n">
        <v>421.3</v>
      </c>
      <c r="E48" s="7">
        <f>SUM(B48:D48)</f>
        <v/>
      </c>
    </row>
    <row r="49">
      <c r="A49" t="inlineStr">
        <is>
          <t>Steven Wright</t>
        </is>
      </c>
      <c r="B49" s="7" t="n">
        <v>155.71</v>
      </c>
      <c r="C49" s="7" t="n">
        <v>452.2</v>
      </c>
      <c r="D49" s="7" t="n">
        <v>175</v>
      </c>
      <c r="E49" s="7">
        <f>SUM(B49:D49)</f>
        <v/>
      </c>
    </row>
    <row r="50">
      <c r="A50" t="inlineStr">
        <is>
          <t>Steven Xiaotian Dai</t>
        </is>
      </c>
      <c r="B50" s="7" t="n">
        <v>199.12</v>
      </c>
      <c r="C50" s="7" t="n">
        <v>350.3</v>
      </c>
      <c r="D50" s="7" t="n">
        <v>503.4</v>
      </c>
      <c r="E50" s="7">
        <f>SUM(B50:D50)</f>
        <v/>
      </c>
    </row>
    <row r="51">
      <c r="A51" t="inlineStr">
        <is>
          <t>Tommy Yuan</t>
        </is>
      </c>
      <c r="B51" s="7" t="n">
        <v>420.18</v>
      </c>
      <c r="C51" s="7" t="n">
        <v>364.2</v>
      </c>
      <c r="D51" s="7" t="n">
        <v>339.2</v>
      </c>
      <c r="E51" s="7">
        <f>SUM(B51:D51)</f>
        <v/>
      </c>
    </row>
    <row r="52">
      <c r="A52" t="inlineStr">
        <is>
          <t>Vasileios Vasilakis</t>
        </is>
      </c>
      <c r="B52" s="7" t="n">
        <v>247.795</v>
      </c>
      <c r="C52" s="7" t="n">
        <v>356.2</v>
      </c>
      <c r="D52" s="7" t="n">
        <v>339.2</v>
      </c>
      <c r="E52" s="7">
        <f>SUM(B52:D52)</f>
        <v/>
      </c>
    </row>
    <row r="53">
      <c r="A53" t="inlineStr">
        <is>
          <t>William Smith</t>
        </is>
      </c>
      <c r="B53" s="7" t="n">
        <v>220.91</v>
      </c>
      <c r="C53" s="7" t="n">
        <v>676.2</v>
      </c>
      <c r="D53" s="7" t="n">
        <v>298.15</v>
      </c>
      <c r="E53" s="7">
        <f>SUM(B53:D53)</f>
        <v/>
      </c>
    </row>
    <row r="54">
      <c r="A54" t="inlineStr">
        <is>
          <t>Xinwei Fang</t>
        </is>
      </c>
      <c r="B54" s="7" t="n">
        <v>316.505</v>
      </c>
      <c r="C54" s="7" t="n">
        <v>244.2</v>
      </c>
      <c r="D54" s="7" t="n">
        <v>257.1</v>
      </c>
      <c r="E54" s="7">
        <f>SUM(B54:D54)</f>
        <v/>
      </c>
    </row>
    <row r="55">
      <c r="A55" t="inlineStr">
        <is>
          <t>Yan Jia</t>
        </is>
      </c>
      <c r="B55" s="7" t="n">
        <v>83.67</v>
      </c>
      <c r="C55" s="7" t="n">
        <v>638.7</v>
      </c>
      <c r="D55" s="7" t="n">
        <v>175</v>
      </c>
      <c r="E55" s="7">
        <f>SUM(B55:D55)</f>
        <v/>
      </c>
    </row>
    <row r="56">
      <c r="A56" t="inlineStr">
        <is>
          <t>Yuchen Zhao</t>
        </is>
      </c>
      <c r="B56" s="7" t="n">
        <v>296.35</v>
      </c>
      <c r="C56" s="7" t="n">
        <v>180.2</v>
      </c>
      <c r="D56" s="7" t="n">
        <v>257.1</v>
      </c>
      <c r="E56" s="7">
        <f>SUM(B56:D56)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2026-08-09T19:22:36Z</dcterms:created>
  <dcterms:modified xmlns:dcterms="http://purl.org/dc/terms/" xmlns:xsi="http://www.w3.org/2001/XMLSchema-instance" xsi:type="dcterms:W3CDTF">2026-08-09T19:22:36Z</dcterms:modified>
</cp:coreProperties>
</file>