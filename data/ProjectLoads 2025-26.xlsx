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Advisor Loads" sheetId="2" r:id="rId5"/>
    <sheet state="visible" name="Parameters + Programme Summary" sheetId="3" r:id="rId6"/>
  </sheets>
  <definedNames/>
  <calcPr/>
  <extLst>
    <ext uri="GoogleSheetsCustomDataVersion2">
      <go:sheetsCustomData xmlns:go="http://customooxmlschemas.google.com/" r:id="rId7" roundtripDataChecksum="uYoupRqLWXJ6zNOK7F32SzHOEjXewQSlwtgxyqdiA9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0">
      <text>
        <t xml:space="preserve">======
ID#AAABxkJVt58
Jacob Rigby    (2025-12-16 10:51:04)
needs one less CS student as taking one from maths</t>
      </text>
    </comment>
    <comment authorId="0" ref="I24">
      <text>
        <t xml:space="preserve">======
ID#AAABsdtWahI
Simon Foster    (2025-10-14 12:32:04)
0, since took an extra UG student</t>
      </text>
    </comment>
    <comment authorId="0" ref="H1">
      <text>
        <t xml:space="preserve">======
ID#AAABsasfiNU
Jacob Rigby    (2025-10-13 14:26:43)
What's leftover at the end after allocation, e.g. if not enough students chose that project. Useful to balance PGT slots.
------
ID#AAABzWA7aIM
Jacob Rigby    (2026-02-03 11:10:55)
UG slots - number of UG allocations in the teaching portal</t>
      </text>
    </comment>
    <comment authorId="0" ref="G1">
      <text>
        <t xml:space="preserve">======
ID#AAABsasfiNQ
Jacob Rigby    (2025-10-13 14:25:11)
Manual field populated manually, entirely through teaching portal</t>
      </text>
    </comment>
    <comment authorId="0" ref="F1">
      <text>
        <t xml:space="preserve">======
ID#AAABsasfiNM
Jacob Rigby    (2025-10-13 14:24:03)
load*frac loading</t>
      </text>
    </comment>
  </commentList>
  <extLst>
    <ext uri="GoogleSheetsCustomDataVersion2">
      <go:sheetsCustomData xmlns:go="http://customooxmlschemas.google.com/" r:id="rId1" roundtripDataSignature="AMtx7mgvYcardu6aeo5xZ23QHQZ7ABgRhQ=="/>
    </ext>
  </extLst>
</comments>
</file>

<file path=xl/sharedStrings.xml><?xml version="1.0" encoding="utf-8"?>
<sst xmlns="http://schemas.openxmlformats.org/spreadsheetml/2006/main" count="326" uniqueCount="263">
  <si>
    <t>Important Notes</t>
  </si>
  <si>
    <t xml:space="preserve">This spreadsheet will calculate UG and PG loadings based on a fractional load provided. </t>
  </si>
  <si>
    <t>The calculation is done using the three parameters in the Parameters sheet, the fractional loading and the programmes they are listed against</t>
  </si>
  <si>
    <t>Each academic should only have a single MSc programme listed, and should have UG listed iff they take UG projects</t>
  </si>
  <si>
    <t>If an academic takes UG projects (i.e. if UG is listed under programmes), the calculation is round(loading * nominal UG load). Their MSc load is calculated similarly.</t>
  </si>
  <si>
    <t>If an academic only takes PG projects (i.e. UG is not listed under programmes), the calculation is round(loading * round(nominal UG load / 1.5)) + round(loading * nominal PG load)</t>
  </si>
  <si>
    <t>After UG allocation, academics that undershoot their loading can have this loading reassigned to PG projects (with the 1.5 weighting applied).</t>
  </si>
  <si>
    <t>Individual project slots can be added (or theoretically subtracted) from the Extras column.</t>
  </si>
  <si>
    <t>The programme summary tab will give an overview of the number of slots available for each programme.</t>
  </si>
  <si>
    <t>First Name</t>
  </si>
  <si>
    <t>Surname</t>
  </si>
  <si>
    <t>Username</t>
  </si>
  <si>
    <t>Programmes</t>
  </si>
  <si>
    <t>Fractional Loading</t>
  </si>
  <si>
    <t>UG Slots</t>
  </si>
  <si>
    <t>UG Extras</t>
  </si>
  <si>
    <t>UG Undershoot</t>
  </si>
  <si>
    <t>PG Slots</t>
  </si>
  <si>
    <t>PG Extras</t>
  </si>
  <si>
    <t>Total Projects (UG + PG)</t>
  </si>
  <si>
    <t>Notes</t>
  </si>
  <si>
    <t>Adrian</t>
  </si>
  <si>
    <t>Bors</t>
  </si>
  <si>
    <t>agb11</t>
  </si>
  <si>
    <t>UG,AI</t>
  </si>
  <si>
    <t>Alena</t>
  </si>
  <si>
    <t>Denisova</t>
  </si>
  <si>
    <t>ad595</t>
  </si>
  <si>
    <t>HCI</t>
  </si>
  <si>
    <t>Alvaro</t>
  </si>
  <si>
    <t>Miyazawa</t>
  </si>
  <si>
    <t>ahm504</t>
  </si>
  <si>
    <t>UG,ACS</t>
  </si>
  <si>
    <t>Ana</t>
  </si>
  <si>
    <t>Cavalcanti</t>
  </si>
  <si>
    <t>NA</t>
  </si>
  <si>
    <t>Andy</t>
  </si>
  <si>
    <t>Pomfret</t>
  </si>
  <si>
    <t>ajp109</t>
  </si>
  <si>
    <t>Angus</t>
  </si>
  <si>
    <t>Marshall</t>
  </si>
  <si>
    <t>amm616</t>
  </si>
  <si>
    <t>UG,CYB</t>
  </si>
  <si>
    <t>Antonio</t>
  </si>
  <si>
    <t>Garcia-Dominguez</t>
  </si>
  <si>
    <t>agd516</t>
  </si>
  <si>
    <t>Burak</t>
  </si>
  <si>
    <t>Merdenyan</t>
  </si>
  <si>
    <t>bm815</t>
  </si>
  <si>
    <t>Carlo</t>
  </si>
  <si>
    <t>Ottaviani</t>
  </si>
  <si>
    <t>co579</t>
  </si>
  <si>
    <t>Not enough UG specs -&gt; sent to CYB. Is taking one MSc student from Maths and so should have one less CS PG project.</t>
  </si>
  <si>
    <t>Chris</t>
  </si>
  <si>
    <t>Crispin-Bailey</t>
  </si>
  <si>
    <t>cb25</t>
  </si>
  <si>
    <t>Claire</t>
  </si>
  <si>
    <t>Ingram</t>
  </si>
  <si>
    <t>ci578</t>
  </si>
  <si>
    <t>UG,DATA</t>
  </si>
  <si>
    <t>Claudio</t>
  </si>
  <si>
    <t>Guarnera</t>
  </si>
  <si>
    <t>gcg515</t>
  </si>
  <si>
    <t>No second marking in 2025-26</t>
  </si>
  <si>
    <t>Colin</t>
  </si>
  <si>
    <t>Paterson</t>
  </si>
  <si>
    <t>cap508</t>
  </si>
  <si>
    <t>David</t>
  </si>
  <si>
    <t>Pumfrey</t>
  </si>
  <si>
    <t>SCSE</t>
  </si>
  <si>
    <t>Dawn</t>
  </si>
  <si>
    <t>Wood</t>
  </si>
  <si>
    <t>dhw506</t>
  </si>
  <si>
    <t>Detlef</t>
  </si>
  <si>
    <t>Plump</t>
  </si>
  <si>
    <t>djp10</t>
  </si>
  <si>
    <t>Dimitar</t>
  </si>
  <si>
    <t>Kazakov</t>
  </si>
  <si>
    <t>dlk2</t>
  </si>
  <si>
    <t>Dimitris</t>
  </si>
  <si>
    <t>Kolovos</t>
  </si>
  <si>
    <t>dk135</t>
  </si>
  <si>
    <t>Frank</t>
  </si>
  <si>
    <t>Soboczenski</t>
  </si>
  <si>
    <t>fs596</t>
  </si>
  <si>
    <t>DATA</t>
  </si>
  <si>
    <t>No MSc projects for AY 2025/26</t>
  </si>
  <si>
    <t>Changed fractional loading to 0 for this year</t>
  </si>
  <si>
    <t>Iain</t>
  </si>
  <si>
    <t>Bate</t>
  </si>
  <si>
    <t>ijb500</t>
  </si>
  <si>
    <t>Ian</t>
  </si>
  <si>
    <t>Gray</t>
  </si>
  <si>
    <t>ig112</t>
  </si>
  <si>
    <t>Ibrahim</t>
  </si>
  <si>
    <t>Habli</t>
  </si>
  <si>
    <t>ih126</t>
  </si>
  <si>
    <t>UG,SCSE</t>
  </si>
  <si>
    <t>Jacob</t>
  </si>
  <si>
    <t>Rigby</t>
  </si>
  <si>
    <t>rxw517</t>
  </si>
  <si>
    <t>No MSc projects in 2025-26</t>
  </si>
  <si>
    <t>Left at 0 in TP despite 1 PG slot here</t>
  </si>
  <si>
    <t>James</t>
  </si>
  <si>
    <t>Walker</t>
  </si>
  <si>
    <t>jaw500</t>
  </si>
  <si>
    <t>Jen</t>
  </si>
  <si>
    <t>Beeston</t>
  </si>
  <si>
    <t>jb558</t>
  </si>
  <si>
    <t>UG,HCI</t>
  </si>
  <si>
    <t>Producing learning materials for PRBX</t>
  </si>
  <si>
    <t>Checked with Jen, she is not expecting any MScs so I have set it to 0 in the TP</t>
  </si>
  <si>
    <t>Jo</t>
  </si>
  <si>
    <t>Iacovides</t>
  </si>
  <si>
    <t>ii560</t>
  </si>
  <si>
    <t>Joe</t>
  </si>
  <si>
    <t>Cutting</t>
  </si>
  <si>
    <t>jtc511</t>
  </si>
  <si>
    <t>John</t>
  </si>
  <si>
    <t>Oyekan</t>
  </si>
  <si>
    <t>jo861</t>
  </si>
  <si>
    <t>Katrina</t>
  </si>
  <si>
    <t>Attwood</t>
  </si>
  <si>
    <t>kca3</t>
  </si>
  <si>
    <t>UG</t>
  </si>
  <si>
    <t>No MSc students -- entire load as UG</t>
  </si>
  <si>
    <t>Kofi</t>
  </si>
  <si>
    <t>Appiah</t>
  </si>
  <si>
    <t>kea523</t>
  </si>
  <si>
    <t>Konstantinos</t>
  </si>
  <si>
    <t>Barmpis</t>
  </si>
  <si>
    <t>kb634</t>
  </si>
  <si>
    <t>Lilian</t>
  </si>
  <si>
    <t>Blot</t>
  </si>
  <si>
    <t>lb1008</t>
  </si>
  <si>
    <t>Online programme</t>
  </si>
  <si>
    <t>Mark</t>
  </si>
  <si>
    <t>Nicholson</t>
  </si>
  <si>
    <t>mn103</t>
  </si>
  <si>
    <t>Mike</t>
  </si>
  <si>
    <t>Freeman</t>
  </si>
  <si>
    <t>mjf5</t>
  </si>
  <si>
    <t>O'Dea</t>
  </si>
  <si>
    <t>nlr532</t>
  </si>
  <si>
    <t>UG undershoot initally 3 as per Simon, calculated 2</t>
  </si>
  <si>
    <t>Nick</t>
  </si>
  <si>
    <t>Pears</t>
  </si>
  <si>
    <t>np7</t>
  </si>
  <si>
    <t>Oleg</t>
  </si>
  <si>
    <t>Lisagor</t>
  </si>
  <si>
    <t>ol101</t>
  </si>
  <si>
    <t>SCSE self-defined and overflow. No UG projects. Will help marking.</t>
  </si>
  <si>
    <t>Paul</t>
  </si>
  <si>
    <t>Cairns</t>
  </si>
  <si>
    <t>pc530</t>
  </si>
  <si>
    <t>Loading in the TP was 4 despite 5 here, so no remaining. Have gone with the spreadsheet. Also, reserve for DATA?</t>
  </si>
  <si>
    <t>Pedro</t>
  </si>
  <si>
    <t>Ribeiro</t>
  </si>
  <si>
    <t>pfr500</t>
  </si>
  <si>
    <t>Pengcheng</t>
  </si>
  <si>
    <t>Liu</t>
  </si>
  <si>
    <t>pl1028</t>
  </si>
  <si>
    <t>Peter</t>
  </si>
  <si>
    <t>Nightingale</t>
  </si>
  <si>
    <t>pwn503</t>
  </si>
  <si>
    <t>Undergraduate loading reduction, due to more MSCs in 2024-25</t>
  </si>
  <si>
    <t>Poonam</t>
  </si>
  <si>
    <t>Yadav</t>
  </si>
  <si>
    <t>py642</t>
  </si>
  <si>
    <t>Pourya</t>
  </si>
  <si>
    <t>Shamsolmoali</t>
  </si>
  <si>
    <t>zhh520</t>
  </si>
  <si>
    <t>-1 remaining in TP, did not change here</t>
  </si>
  <si>
    <t>Radu</t>
  </si>
  <si>
    <t>Calinescu</t>
  </si>
  <si>
    <t>rcc516</t>
  </si>
  <si>
    <t>CHECK - numbers don't add up</t>
  </si>
  <si>
    <t>Richard</t>
  </si>
  <si>
    <t>Hawkins</t>
  </si>
  <si>
    <t>rdh2</t>
  </si>
  <si>
    <t>Had 7 slots in TP rather than 6 here. Updated using values here.</t>
  </si>
  <si>
    <t>Wilson</t>
  </si>
  <si>
    <t>rcw2</t>
  </si>
  <si>
    <t>No project supervision or marking</t>
  </si>
  <si>
    <t>Rob</t>
  </si>
  <si>
    <t>Alexander</t>
  </si>
  <si>
    <t>rda2</t>
  </si>
  <si>
    <t>Robbert</t>
  </si>
  <si>
    <t>Jongeling</t>
  </si>
  <si>
    <t>ctv524</t>
  </si>
  <si>
    <t>Roberto</t>
  </si>
  <si>
    <t>Metere</t>
  </si>
  <si>
    <t>rm2159</t>
  </si>
  <si>
    <t>Sam</t>
  </si>
  <si>
    <t>Braunstein</t>
  </si>
  <si>
    <t>sb54</t>
  </si>
  <si>
    <t>No MSc projects due to higher-workload UG student</t>
  </si>
  <si>
    <t>Sarah</t>
  </si>
  <si>
    <t>Carrington</t>
  </si>
  <si>
    <t>st1219</t>
  </si>
  <si>
    <t>Online supervision only</t>
  </si>
  <si>
    <t>Siamak</t>
  </si>
  <si>
    <t>Fayyaz Shahandashti</t>
  </si>
  <si>
    <t>sfs521</t>
  </si>
  <si>
    <t>Simon</t>
  </si>
  <si>
    <t>Foster</t>
  </si>
  <si>
    <t>sf786</t>
  </si>
  <si>
    <t>O'Keefe</t>
  </si>
  <si>
    <t>semok100</t>
  </si>
  <si>
    <t>Simos</t>
  </si>
  <si>
    <t>Gerasimou</t>
  </si>
  <si>
    <t>sg778</t>
  </si>
  <si>
    <t>Stefano</t>
  </si>
  <si>
    <t>Pirandola</t>
  </si>
  <si>
    <t>sp550</t>
  </si>
  <si>
    <t>Steve</t>
  </si>
  <si>
    <t>King</t>
  </si>
  <si>
    <t>sk11</t>
  </si>
  <si>
    <t>Steven</t>
  </si>
  <si>
    <t>Wright</t>
  </si>
  <si>
    <t>saw586</t>
  </si>
  <si>
    <t>Tommy</t>
  </si>
  <si>
    <t>Yuan</t>
  </si>
  <si>
    <t>ty513</t>
  </si>
  <si>
    <t>Reduced UG supervision load</t>
  </si>
  <si>
    <t>CHECK - spreadsheet different from TP</t>
  </si>
  <si>
    <t>Vasili</t>
  </si>
  <si>
    <t>Vasilakis</t>
  </si>
  <si>
    <t>vv573</t>
  </si>
  <si>
    <t>Will</t>
  </si>
  <si>
    <t>Smith</t>
  </si>
  <si>
    <t>waps101</t>
  </si>
  <si>
    <t>Xiaotian</t>
  </si>
  <si>
    <t>Dai</t>
  </si>
  <si>
    <t>xd656</t>
  </si>
  <si>
    <t>subtract 1 MSc slot (traded with Yan Jia)</t>
  </si>
  <si>
    <t>CHECK - Load was 6 in TP, changed to 5 to match sheet and reflect subtraction from deal</t>
  </si>
  <si>
    <t>Xinwei</t>
  </si>
  <si>
    <t>Fang</t>
  </si>
  <si>
    <t>xf619</t>
  </si>
  <si>
    <t>CHECK - load is 5 in here and 4 in TP. DId not change anything here</t>
  </si>
  <si>
    <t>Yan</t>
  </si>
  <si>
    <t>Jia</t>
  </si>
  <si>
    <t>yj914</t>
  </si>
  <si>
    <t>add 1 MSc slot (traded with Steven Dai)</t>
  </si>
  <si>
    <t>Added one PG slot to TP as per note. CHECK vetter - i forgot to set it and didn't see who it was. Self vetting now.</t>
  </si>
  <si>
    <t>Yuchen</t>
  </si>
  <si>
    <t>Zhao</t>
  </si>
  <si>
    <t>yz6316</t>
  </si>
  <si>
    <t>CHECK - UG slots here does not match TP. Did not change anything here.</t>
  </si>
  <si>
    <t>Parameters</t>
  </si>
  <si>
    <t>Nominal UG Load</t>
  </si>
  <si>
    <t>Nominal PG Load</t>
  </si>
  <si>
    <t>PG to UG Weighting</t>
  </si>
  <si>
    <t>Summary</t>
  </si>
  <si>
    <t>Programme</t>
  </si>
  <si>
    <t>Slots</t>
  </si>
  <si>
    <t>Total students this year</t>
  </si>
  <si>
    <t>ACS</t>
  </si>
  <si>
    <t>CYB</t>
  </si>
  <si>
    <t>AI</t>
  </si>
  <si>
    <t>Totals</t>
  </si>
  <si>
    <t>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</si>
</sst>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2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Fill="1" applyFont="1"/>
    <xf borderId="0" fillId="2" fontId="4" numFmtId="0" xfId="0" applyAlignment="1" applyFont="1">
      <alignment readingOrder="0"/>
    </xf>
    <xf borderId="0" fillId="0" fontId="6" numFmtId="0" xfId="0" applyFont="1"/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4" numFmtId="0" xfId="0" applyFill="1" applyFont="1"/>
    <xf borderId="0" fillId="3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1" fillId="0" fontId="3" numFmtId="0" xfId="0" applyBorder="1" applyFont="1"/>
    <xf borderId="2" fillId="0" fontId="8" numFmtId="0" xfId="0" applyBorder="1" applyFont="1"/>
    <xf borderId="3" fillId="0" fontId="3" numFmtId="0" xfId="0" applyBorder="1" applyFont="1"/>
    <xf borderId="4" fillId="0" fontId="8" numFmtId="0" xfId="0" applyAlignment="1" applyBorder="1" applyFont="1">
      <alignment readingOrder="0"/>
    </xf>
    <xf borderId="4" fillId="0" fontId="8" numFmtId="0" xfId="0" applyBorder="1" applyFont="1"/>
    <xf borderId="5" fillId="0" fontId="3" numFmtId="0" xfId="0" applyBorder="1" applyFont="1"/>
    <xf borderId="6" fillId="0" fontId="8" numFmtId="0" xfId="0" applyBorder="1" applyFont="1"/>
    <xf borderId="4" fillId="0" fontId="3" numFmtId="0" xfId="0" applyBorder="1" applyFont="1"/>
    <xf borderId="3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0.11"/>
    <col customWidth="1" min="2" max="26" width="10.56"/>
  </cols>
  <sheetData>
    <row r="1" ht="15.75" customHeight="1"/>
    <row r="2" ht="15.75" customHeight="1">
      <c r="A2" s="1" t="s">
        <v>0</v>
      </c>
    </row>
    <row r="3" ht="15.75" customHeight="1">
      <c r="A3" s="2"/>
    </row>
    <row r="4" ht="21.0" customHeight="1">
      <c r="A4" s="3" t="s">
        <v>1</v>
      </c>
    </row>
    <row r="5" ht="32.25" customHeight="1">
      <c r="A5" s="3" t="s">
        <v>2</v>
      </c>
    </row>
    <row r="6" ht="26.25" customHeight="1">
      <c r="A6" s="3" t="s">
        <v>3</v>
      </c>
    </row>
    <row r="7" ht="32.25" customHeight="1">
      <c r="A7" s="3" t="s">
        <v>4</v>
      </c>
    </row>
    <row r="8" ht="23.25" customHeight="1">
      <c r="A8" s="3" t="s">
        <v>5</v>
      </c>
    </row>
    <row r="9" ht="27.0" customHeight="1">
      <c r="A9" s="3" t="s">
        <v>6</v>
      </c>
    </row>
    <row r="10" ht="15.75" customHeight="1">
      <c r="A10" s="4"/>
    </row>
    <row r="11" ht="30.75" customHeight="1">
      <c r="A11" s="3" t="s">
        <v>7</v>
      </c>
    </row>
    <row r="12" ht="25.5" customHeight="1">
      <c r="A12" s="3" t="s">
        <v>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0"/>
    <col customWidth="1" min="2" max="2" width="19.67"/>
    <col customWidth="1" min="3" max="3" width="8.44"/>
    <col customWidth="1" min="4" max="4" width="10.22"/>
    <col customWidth="1" min="5" max="5" width="14.33"/>
    <col customWidth="1" min="6" max="7" width="10.56"/>
    <col customWidth="1" min="8" max="8" width="15.78"/>
    <col customWidth="1" min="9" max="10" width="10.56"/>
    <col customWidth="1" min="11" max="11" width="23.33"/>
    <col customWidth="1" min="12" max="12" width="57.33"/>
    <col customWidth="1" min="13" max="26" width="10.56"/>
  </cols>
  <sheetData>
    <row r="1" ht="15.75" customHeigh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ht="15.75" customHeight="1">
      <c r="A2" s="6" t="s">
        <v>21</v>
      </c>
      <c r="B2" s="6" t="s">
        <v>22</v>
      </c>
      <c r="C2" s="6" t="s">
        <v>23</v>
      </c>
      <c r="D2" s="6" t="s">
        <v>24</v>
      </c>
      <c r="E2" s="6">
        <v>1.5</v>
      </c>
      <c r="F2" s="6">
        <f>IF(COUNTIF(D2,"*UG*"),ROUND(E2*'Parameters + Programme Summary'!$C$5,0),0)</f>
        <v>9</v>
      </c>
      <c r="G2" s="6">
        <v>0.0</v>
      </c>
      <c r="H2" s="7">
        <v>1.0</v>
      </c>
      <c r="I2" s="6">
        <f>IF(COUNTIF(D2,"*UG*"),ROUND(E2*'Parameters + Programme Summary'!$C$6,0) + ROUND(H2/'Parameters + Programme Summary'!$C$7,0),ROUND(E2*ROUND('Parameters + Programme Summary'!$C$5 / 'Parameters + Programme Summary'!$C$7,0),0)+ROUND(E2*'Parameters + Programme Summary'!$C$6,0))</f>
        <v>3</v>
      </c>
      <c r="J2" s="6">
        <v>0.0</v>
      </c>
      <c r="K2" s="6">
        <f t="shared" ref="K2:K35" si="1">F2+G2-H2+I2+J2</f>
        <v>11</v>
      </c>
      <c r="L2" s="6"/>
    </row>
    <row r="3" ht="15.75" customHeight="1">
      <c r="A3" s="6" t="s">
        <v>25</v>
      </c>
      <c r="B3" s="6" t="s">
        <v>26</v>
      </c>
      <c r="C3" s="6" t="s">
        <v>27</v>
      </c>
      <c r="D3" s="6" t="s">
        <v>28</v>
      </c>
      <c r="E3" s="6">
        <v>1.0</v>
      </c>
      <c r="F3" s="6">
        <f>IF(COUNTIF(D3,"*UG*"),ROUND(E3*'Parameters + Programme Summary'!$C$5,0),0)</f>
        <v>0</v>
      </c>
      <c r="G3" s="6">
        <v>0.0</v>
      </c>
      <c r="H3" s="6">
        <v>0.0</v>
      </c>
      <c r="I3" s="6">
        <f>IF(COUNTIF(D3,"*UG*"),ROUND(E3*'Parameters + Programme Summary'!$C$6,0) + ROUND(H3/'Parameters + Programme Summary'!$C$7,0),ROUND(E3*ROUND('Parameters + Programme Summary'!$C$5 / 'Parameters + Programme Summary'!$C$7,0),0)+ROUND(E3*'Parameters + Programme Summary'!$C$6,0))</f>
        <v>5</v>
      </c>
      <c r="J3" s="6">
        <v>0.0</v>
      </c>
      <c r="K3" s="6">
        <f t="shared" si="1"/>
        <v>5</v>
      </c>
    </row>
    <row r="4" ht="15.75" customHeight="1">
      <c r="A4" s="6" t="s">
        <v>29</v>
      </c>
      <c r="B4" s="6" t="s">
        <v>30</v>
      </c>
      <c r="C4" s="6" t="s">
        <v>31</v>
      </c>
      <c r="D4" s="6" t="s">
        <v>32</v>
      </c>
      <c r="E4" s="6">
        <v>0.5</v>
      </c>
      <c r="F4" s="6">
        <f>IF(COUNTIF(D4,"*UG*"),ROUND(E4*'Parameters + Programme Summary'!$C$5,0),0)</f>
        <v>3</v>
      </c>
      <c r="G4" s="6">
        <v>0.0</v>
      </c>
      <c r="H4" s="6">
        <v>0.0</v>
      </c>
      <c r="I4" s="6">
        <f>IF(COUNTIF(D4,"*UG*"),ROUND(E4*'Parameters + Programme Summary'!$C$6,0) + ROUND(H4/'Parameters + Programme Summary'!$C$7,0),ROUND(E4*ROUND('Parameters + Programme Summary'!$C$5 / 'Parameters + Programme Summary'!$C$7,0),0)+ROUND(E4*'Parameters + Programme Summary'!$C$6,0))</f>
        <v>1</v>
      </c>
      <c r="J4" s="6">
        <v>0.0</v>
      </c>
      <c r="K4" s="6">
        <f t="shared" si="1"/>
        <v>4</v>
      </c>
    </row>
    <row r="5" ht="15.75" customHeight="1">
      <c r="A5" s="6" t="s">
        <v>33</v>
      </c>
      <c r="B5" s="6" t="s">
        <v>34</v>
      </c>
      <c r="D5" s="6" t="s">
        <v>35</v>
      </c>
      <c r="E5" s="6">
        <v>0.0</v>
      </c>
      <c r="F5" s="6">
        <f>IF(COUNTIF(D5,"*UG*"),ROUND(E5*'Parameters + Programme Summary'!$C$5,0),0)</f>
        <v>0</v>
      </c>
      <c r="G5" s="6">
        <v>0.0</v>
      </c>
      <c r="H5" s="6">
        <v>0.0</v>
      </c>
      <c r="I5" s="6">
        <f>IF(COUNTIF(D5,"*UG*"),ROUND(E5*'Parameters + Programme Summary'!$C$6,0) + ROUND(H5/'Parameters + Programme Summary'!$C$7,0),ROUND(E5*ROUND('Parameters + Programme Summary'!$C$5 / 'Parameters + Programme Summary'!$C$7,0),0)+ROUND(E5*'Parameters + Programme Summary'!$C$6,0))</f>
        <v>0</v>
      </c>
      <c r="J5" s="6">
        <v>0.0</v>
      </c>
      <c r="K5" s="6">
        <f t="shared" si="1"/>
        <v>0</v>
      </c>
      <c r="L5" s="6"/>
    </row>
    <row r="6" ht="15.75" customHeight="1">
      <c r="A6" s="8" t="s">
        <v>36</v>
      </c>
      <c r="B6" s="8" t="s">
        <v>37</v>
      </c>
      <c r="C6" s="8" t="s">
        <v>38</v>
      </c>
      <c r="D6" s="8" t="s">
        <v>32</v>
      </c>
      <c r="E6" s="8">
        <v>0.75</v>
      </c>
      <c r="F6" s="6">
        <f>IF(COUNTIF(D6,"*UG*"),ROUND(E6*'Parameters + Programme Summary'!$C$5,0),0)</f>
        <v>5</v>
      </c>
      <c r="G6" s="6">
        <v>0.0</v>
      </c>
      <c r="H6" s="7">
        <v>2.0</v>
      </c>
      <c r="I6" s="6">
        <f>IF(COUNTIF(D6,"*UG*"),ROUND(E6*'Parameters + Programme Summary'!$C$6,0) + ROUND(H6/'Parameters + Programme Summary'!$C$7,0),ROUND(E6*ROUND('Parameters + Programme Summary'!$C$5 / 'Parameters + Programme Summary'!$C$7,0),0)+ROUND(E6*'Parameters + Programme Summary'!$C$6,0))</f>
        <v>2</v>
      </c>
      <c r="J6" s="6">
        <v>0.0</v>
      </c>
      <c r="K6" s="6">
        <f t="shared" si="1"/>
        <v>5</v>
      </c>
    </row>
    <row r="7" ht="15.75" customHeight="1">
      <c r="A7" s="6" t="s">
        <v>39</v>
      </c>
      <c r="B7" s="6" t="s">
        <v>40</v>
      </c>
      <c r="C7" s="6" t="s">
        <v>41</v>
      </c>
      <c r="D7" s="6" t="s">
        <v>42</v>
      </c>
      <c r="E7" s="7">
        <v>0.0</v>
      </c>
      <c r="F7" s="6">
        <f>IF(COUNTIF(D7,"*UG*"),ROUND(E7*'Parameters + Programme Summary'!$C$5,0),0)</f>
        <v>0</v>
      </c>
      <c r="G7" s="6">
        <v>0.0</v>
      </c>
      <c r="H7" s="7">
        <v>2.0</v>
      </c>
      <c r="I7" s="6">
        <f>IF(COUNTIF(D7,"*UG*"),ROUND(E7*'Parameters + Programme Summary'!$C$6,0) + ROUND(H7/'Parameters + Programme Summary'!$C$7,0),ROUND(E7*ROUND('Parameters + Programme Summary'!$C$5 / 'Parameters + Programme Summary'!$C$7,0),0)+ROUND(E7*'Parameters + Programme Summary'!$C$6,0))</f>
        <v>1</v>
      </c>
      <c r="J7" s="6">
        <v>0.0</v>
      </c>
      <c r="K7" s="6">
        <f t="shared" si="1"/>
        <v>-1</v>
      </c>
      <c r="L7" s="6"/>
    </row>
    <row r="8" ht="15.75" customHeight="1">
      <c r="A8" s="6" t="s">
        <v>43</v>
      </c>
      <c r="B8" s="6" t="s">
        <v>44</v>
      </c>
      <c r="C8" s="6" t="s">
        <v>45</v>
      </c>
      <c r="D8" s="7" t="s">
        <v>24</v>
      </c>
      <c r="E8" s="7">
        <v>0.5</v>
      </c>
      <c r="F8" s="6">
        <f>IF(COUNTIF(D8,"*UG*"),ROUND(E8*'Parameters + Programme Summary'!$C$5,0),0)</f>
        <v>3</v>
      </c>
      <c r="G8" s="6">
        <v>0.0</v>
      </c>
      <c r="H8" s="6">
        <v>0.0</v>
      </c>
      <c r="I8" s="6">
        <f>IF(COUNTIF(D8,"*UG*"),ROUND(E8*'Parameters + Programme Summary'!$C$6,0) + ROUND(H8/'Parameters + Programme Summary'!$C$7,0),ROUND(E8*ROUND('Parameters + Programme Summary'!$C$5 / 'Parameters + Programme Summary'!$C$7,0),0)+ROUND(E8*'Parameters + Programme Summary'!$C$6,0))</f>
        <v>1</v>
      </c>
      <c r="J8" s="6">
        <v>0.0</v>
      </c>
      <c r="K8" s="6">
        <f t="shared" si="1"/>
        <v>4</v>
      </c>
    </row>
    <row r="9" ht="15.75" customHeight="1">
      <c r="A9" s="6" t="s">
        <v>46</v>
      </c>
      <c r="B9" s="6" t="s">
        <v>47</v>
      </c>
      <c r="C9" s="6" t="s">
        <v>48</v>
      </c>
      <c r="D9" s="6" t="s">
        <v>42</v>
      </c>
      <c r="E9" s="7">
        <v>0.0</v>
      </c>
      <c r="F9" s="6">
        <f>IF(COUNTIF(D9,"*UG*"),ROUND(E9*'Parameters + Programme Summary'!$C$5,0),0)</f>
        <v>0</v>
      </c>
      <c r="G9" s="6">
        <v>0.0</v>
      </c>
      <c r="H9" s="6">
        <v>0.0</v>
      </c>
      <c r="I9" s="6">
        <f>IF(COUNTIF(D9,"*UG*"),ROUND(E9*'Parameters + Programme Summary'!$C$6,0) + ROUND(H9/'Parameters + Programme Summary'!$C$7,0),ROUND(E9*ROUND('Parameters + Programme Summary'!$C$5 / 'Parameters + Programme Summary'!$C$7,0),0)+ROUND(E9*'Parameters + Programme Summary'!$C$6,0))</f>
        <v>0</v>
      </c>
      <c r="J9" s="6">
        <v>0.0</v>
      </c>
      <c r="K9" s="6">
        <f t="shared" si="1"/>
        <v>0</v>
      </c>
    </row>
    <row r="10" ht="15.75" customHeight="1">
      <c r="A10" s="6" t="s">
        <v>49</v>
      </c>
      <c r="B10" s="6" t="s">
        <v>50</v>
      </c>
      <c r="C10" s="6" t="s">
        <v>51</v>
      </c>
      <c r="D10" s="7" t="s">
        <v>42</v>
      </c>
      <c r="E10" s="6">
        <v>1.0</v>
      </c>
      <c r="F10" s="6">
        <f>IF(COUNTIF(D10,"*UG*"),ROUND(E10*'Parameters + Programme Summary'!$C$5,0),0)</f>
        <v>6</v>
      </c>
      <c r="G10" s="6">
        <v>0.0</v>
      </c>
      <c r="H10" s="7">
        <v>4.0</v>
      </c>
      <c r="I10" s="6">
        <f>IF(COUNTIF(D10,"*UG*"),ROUND(E10*'Parameters + Programme Summary'!$C$6,0) + ROUND(H10/'Parameters + Programme Summary'!$C$7,0),ROUND(E10*ROUND('Parameters + Programme Summary'!$C$5 / 'Parameters + Programme Summary'!$C$7,0),0)+ROUND(E10*'Parameters + Programme Summary'!$C$6,0))</f>
        <v>4</v>
      </c>
      <c r="J10" s="6">
        <v>0.0</v>
      </c>
      <c r="K10" s="6">
        <f t="shared" si="1"/>
        <v>6</v>
      </c>
      <c r="L10" s="8" t="s">
        <v>52</v>
      </c>
    </row>
    <row r="11" ht="15.75" customHeight="1">
      <c r="A11" s="6" t="s">
        <v>53</v>
      </c>
      <c r="B11" s="6" t="s">
        <v>54</v>
      </c>
      <c r="C11" s="6" t="s">
        <v>55</v>
      </c>
      <c r="D11" s="6" t="s">
        <v>32</v>
      </c>
      <c r="E11" s="6">
        <v>1.0</v>
      </c>
      <c r="F11" s="6">
        <f>IF(COUNTIF(D11,"*UG*"),ROUND(E11*'Parameters + Programme Summary'!$C$5,0),0)</f>
        <v>6</v>
      </c>
      <c r="G11" s="6">
        <v>0.0</v>
      </c>
      <c r="H11" s="7">
        <v>1.0</v>
      </c>
      <c r="I11" s="6">
        <f>IF(COUNTIF(D11,"*UG*"),ROUND(E11*'Parameters + Programme Summary'!$C$6,0) + ROUND(H11/'Parameters + Programme Summary'!$C$7,0),ROUND(E11*ROUND('Parameters + Programme Summary'!$C$5 / 'Parameters + Programme Summary'!$C$7,0),0)+ROUND(E11*'Parameters + Programme Summary'!$C$6,0))</f>
        <v>2</v>
      </c>
      <c r="J11" s="6">
        <v>0.0</v>
      </c>
      <c r="K11" s="6">
        <f t="shared" si="1"/>
        <v>7</v>
      </c>
    </row>
    <row r="12" ht="15.75" customHeight="1">
      <c r="A12" s="6" t="s">
        <v>56</v>
      </c>
      <c r="B12" s="6" t="s">
        <v>57</v>
      </c>
      <c r="C12" s="6" t="s">
        <v>58</v>
      </c>
      <c r="D12" s="7" t="s">
        <v>59</v>
      </c>
      <c r="E12" s="6">
        <v>1.5</v>
      </c>
      <c r="F12" s="6">
        <f>IF(COUNTIF(D12,"*UG*"),ROUND(E12*'Parameters + Programme Summary'!$C$5,0),0)</f>
        <v>9</v>
      </c>
      <c r="G12" s="6">
        <v>0.0</v>
      </c>
      <c r="H12" s="7">
        <v>3.0</v>
      </c>
      <c r="I12" s="6">
        <f>IF(COUNTIF(D12,"*UG*"),ROUND(E12*'Parameters + Programme Summary'!$C$6,0) + ROUND(H12/'Parameters + Programme Summary'!$C$7,0),ROUND(E12*ROUND('Parameters + Programme Summary'!$C$5 / 'Parameters + Programme Summary'!$C$7,0),0)+ROUND(E12*'Parameters + Programme Summary'!$C$6,0))</f>
        <v>4</v>
      </c>
      <c r="J12" s="6">
        <v>0.0</v>
      </c>
      <c r="K12" s="6">
        <f t="shared" si="1"/>
        <v>10</v>
      </c>
      <c r="L12" s="6"/>
    </row>
    <row r="13" ht="15.75" customHeight="1">
      <c r="A13" s="6" t="s">
        <v>60</v>
      </c>
      <c r="B13" s="6" t="s">
        <v>61</v>
      </c>
      <c r="C13" s="6" t="s">
        <v>62</v>
      </c>
      <c r="D13" s="6" t="s">
        <v>24</v>
      </c>
      <c r="E13" s="7">
        <v>0.25</v>
      </c>
      <c r="F13" s="6">
        <f>IF(COUNTIF(D13,"*UG*"),ROUND(E13*'Parameters + Programme Summary'!$C$5,0),0)</f>
        <v>2</v>
      </c>
      <c r="G13" s="6">
        <v>0.0</v>
      </c>
      <c r="H13" s="6">
        <v>0.0</v>
      </c>
      <c r="I13" s="6">
        <f>IF(COUNTIF(D13,"*UG*"),ROUND(E13*'Parameters + Programme Summary'!$C$6,0) + ROUND(H13/'Parameters + Programme Summary'!$C$7,0),ROUND(E13*ROUND('Parameters + Programme Summary'!$C$5 / 'Parameters + Programme Summary'!$C$7,0),0)+ROUND(E13*'Parameters + Programme Summary'!$C$6,0))</f>
        <v>0</v>
      </c>
      <c r="J13" s="6">
        <v>0.0</v>
      </c>
      <c r="K13" s="6">
        <f t="shared" si="1"/>
        <v>2</v>
      </c>
      <c r="L13" s="7" t="s">
        <v>63</v>
      </c>
    </row>
    <row r="14" ht="15.75" customHeight="1">
      <c r="A14" s="6" t="s">
        <v>64</v>
      </c>
      <c r="B14" s="6" t="s">
        <v>65</v>
      </c>
      <c r="C14" s="6" t="s">
        <v>66</v>
      </c>
      <c r="D14" s="6" t="s">
        <v>24</v>
      </c>
      <c r="E14" s="7">
        <v>0.75</v>
      </c>
      <c r="F14" s="6">
        <f>IF(COUNTIF(D14,"*UG*"),ROUND(E14*'Parameters + Programme Summary'!$C$5,0),0)</f>
        <v>5</v>
      </c>
      <c r="G14" s="6">
        <v>0.0</v>
      </c>
      <c r="H14" s="7">
        <v>1.0</v>
      </c>
      <c r="I14" s="6">
        <f>IF(COUNTIF(D14,"*UG*"),ROUND(E14*'Parameters + Programme Summary'!$C$6,0) + ROUND(H14/'Parameters + Programme Summary'!$C$7,0),ROUND(E14*ROUND('Parameters + Programme Summary'!$C$5 / 'Parameters + Programme Summary'!$C$7,0),0)+ROUND(E14*'Parameters + Programme Summary'!$C$6,0))</f>
        <v>2</v>
      </c>
      <c r="J14" s="6">
        <v>0.0</v>
      </c>
      <c r="K14" s="6">
        <f t="shared" si="1"/>
        <v>6</v>
      </c>
      <c r="L14" s="6"/>
    </row>
    <row r="15" ht="15.75" customHeight="1">
      <c r="A15" s="6" t="s">
        <v>67</v>
      </c>
      <c r="B15" s="6" t="s">
        <v>68</v>
      </c>
      <c r="D15" s="6" t="s">
        <v>69</v>
      </c>
      <c r="E15" s="6">
        <v>0.0</v>
      </c>
      <c r="F15" s="6">
        <f>IF(COUNTIF(D15,"*UG*"),ROUND(E15*'Parameters + Programme Summary'!$C$5,0),0)</f>
        <v>0</v>
      </c>
      <c r="G15" s="6">
        <v>0.0</v>
      </c>
      <c r="H15" s="6">
        <v>0.0</v>
      </c>
      <c r="I15" s="6">
        <f>IF(COUNTIF(D15,"*UG*"),ROUND(E15*'Parameters + Programme Summary'!$C$6,0) + ROUND(H15/'Parameters + Programme Summary'!$C$7,0),ROUND(E15*ROUND('Parameters + Programme Summary'!$C$5 / 'Parameters + Programme Summary'!$C$7,0),0)+ROUND(E15*'Parameters + Programme Summary'!$C$6,0))</f>
        <v>0</v>
      </c>
      <c r="J15" s="6">
        <v>0.0</v>
      </c>
      <c r="K15" s="6">
        <f t="shared" si="1"/>
        <v>0</v>
      </c>
      <c r="L15" s="6"/>
    </row>
    <row r="16" ht="15.75" customHeight="1">
      <c r="A16" s="6" t="s">
        <v>70</v>
      </c>
      <c r="B16" s="6" t="s">
        <v>71</v>
      </c>
      <c r="C16" s="6" t="s">
        <v>72</v>
      </c>
      <c r="D16" s="6" t="s">
        <v>32</v>
      </c>
      <c r="E16" s="7">
        <v>1.5</v>
      </c>
      <c r="F16" s="6">
        <f>IF(COUNTIF(D16,"*UG*"),ROUND(E16*'Parameters + Programme Summary'!$C$5,0),0)</f>
        <v>9</v>
      </c>
      <c r="G16" s="6">
        <v>0.0</v>
      </c>
      <c r="H16" s="7">
        <v>1.0</v>
      </c>
      <c r="I16" s="6">
        <f>IF(COUNTIF(D16,"*UG*"),ROUND(E16*'Parameters + Programme Summary'!$C$6,0) + ROUND(H16/'Parameters + Programme Summary'!$C$7,0),ROUND(E16*ROUND('Parameters + Programme Summary'!$C$5 / 'Parameters + Programme Summary'!$C$7,0),0)+ROUND(E16*'Parameters + Programme Summary'!$C$6,0))</f>
        <v>3</v>
      </c>
      <c r="J16" s="6">
        <v>0.0</v>
      </c>
      <c r="K16" s="6">
        <f t="shared" si="1"/>
        <v>11</v>
      </c>
      <c r="L16" s="6"/>
    </row>
    <row r="17" ht="15.75" customHeight="1">
      <c r="A17" s="6" t="s">
        <v>73</v>
      </c>
      <c r="B17" s="6" t="s">
        <v>74</v>
      </c>
      <c r="C17" s="6" t="s">
        <v>75</v>
      </c>
      <c r="D17" s="6" t="s">
        <v>32</v>
      </c>
      <c r="E17" s="7">
        <v>1.0</v>
      </c>
      <c r="F17" s="6">
        <f>IF(COUNTIF(D17,"*UG*"),ROUND(E17*'Parameters + Programme Summary'!$C$5,0),0)</f>
        <v>6</v>
      </c>
      <c r="G17" s="6">
        <v>0.0</v>
      </c>
      <c r="H17" s="7">
        <v>2.0</v>
      </c>
      <c r="I17" s="6">
        <f>IF(COUNTIF(D17,"*UG*"),ROUND(E17*'Parameters + Programme Summary'!$C$6,0) + ROUND(H17/'Parameters + Programme Summary'!$C$7,0),ROUND(E17*ROUND('Parameters + Programme Summary'!$C$5 / 'Parameters + Programme Summary'!$C$7,0),0)+ROUND(E17*'Parameters + Programme Summary'!$C$6,0))</f>
        <v>2</v>
      </c>
      <c r="J17" s="6">
        <v>0.0</v>
      </c>
      <c r="K17" s="6">
        <f t="shared" si="1"/>
        <v>6</v>
      </c>
    </row>
    <row r="18" ht="15.75" customHeight="1">
      <c r="A18" s="6" t="s">
        <v>76</v>
      </c>
      <c r="B18" s="6" t="s">
        <v>77</v>
      </c>
      <c r="C18" s="6" t="s">
        <v>78</v>
      </c>
      <c r="D18" s="7" t="s">
        <v>59</v>
      </c>
      <c r="E18" s="6">
        <v>1.0</v>
      </c>
      <c r="F18" s="6">
        <f>IF(COUNTIF(D18,"*UG*"),ROUND(E18*'Parameters + Programme Summary'!$C$5,0),0)</f>
        <v>6</v>
      </c>
      <c r="G18" s="6">
        <v>0.0</v>
      </c>
      <c r="H18" s="7">
        <v>1.0</v>
      </c>
      <c r="I18" s="6">
        <f>IF(COUNTIF(D18,"*UG*"),ROUND(E18*'Parameters + Programme Summary'!$C$6,0) + ROUND(H18/'Parameters + Programme Summary'!$C$7,0),ROUND(E18*ROUND('Parameters + Programme Summary'!$C$5 / 'Parameters + Programme Summary'!$C$7,0),0)+ROUND(E18*'Parameters + Programme Summary'!$C$6,0))</f>
        <v>2</v>
      </c>
      <c r="J18" s="6">
        <v>0.0</v>
      </c>
      <c r="K18" s="6">
        <f t="shared" si="1"/>
        <v>7</v>
      </c>
    </row>
    <row r="19" ht="15.75" customHeight="1">
      <c r="A19" s="6" t="s">
        <v>79</v>
      </c>
      <c r="B19" s="6" t="s">
        <v>80</v>
      </c>
      <c r="C19" s="6" t="s">
        <v>81</v>
      </c>
      <c r="D19" s="6" t="s">
        <v>32</v>
      </c>
      <c r="E19" s="6">
        <v>0.0</v>
      </c>
      <c r="F19" s="6">
        <f>IF(COUNTIF(D19,"*UG*"),ROUND(E19*'Parameters + Programme Summary'!$C$5,0),0)</f>
        <v>0</v>
      </c>
      <c r="G19" s="6">
        <v>0.0</v>
      </c>
      <c r="H19" s="6">
        <v>0.0</v>
      </c>
      <c r="I19" s="6">
        <f>IF(COUNTIF(D19,"*UG*"),ROUND(E19*'Parameters + Programme Summary'!$C$6,0) + ROUND(H19/'Parameters + Programme Summary'!$C$7,0),ROUND(E19*ROUND('Parameters + Programme Summary'!$C$5 / 'Parameters + Programme Summary'!$C$7,0),0)+ROUND(E19*'Parameters + Programme Summary'!$C$6,0))</f>
        <v>0</v>
      </c>
      <c r="J19" s="6">
        <v>0.0</v>
      </c>
      <c r="K19" s="6">
        <f t="shared" si="1"/>
        <v>0</v>
      </c>
      <c r="L19" s="6"/>
    </row>
    <row r="20" ht="15.75" customHeight="1">
      <c r="A20" s="6" t="s">
        <v>82</v>
      </c>
      <c r="B20" s="6" t="s">
        <v>83</v>
      </c>
      <c r="C20" s="6" t="s">
        <v>84</v>
      </c>
      <c r="D20" s="7" t="s">
        <v>85</v>
      </c>
      <c r="E20" s="7">
        <v>0.0</v>
      </c>
      <c r="F20" s="6">
        <f>IF(COUNTIF(D20,"*UG*"),ROUND(E20*'Parameters + Programme Summary'!$C$5,0),0)</f>
        <v>0</v>
      </c>
      <c r="G20" s="6">
        <v>0.0</v>
      </c>
      <c r="H20" s="6">
        <v>0.0</v>
      </c>
      <c r="I20" s="6">
        <f>IF(COUNTIF(D20,"*UG*"),ROUND(E20*'Parameters + Programme Summary'!$C$6,0) + ROUND(H20/'Parameters + Programme Summary'!$C$7,0),ROUND(E20*ROUND('Parameters + Programme Summary'!$C$5 / 'Parameters + Programme Summary'!$C$7,0),0)+ROUND(E20*'Parameters + Programme Summary'!$C$6,0))</f>
        <v>0</v>
      </c>
      <c r="J20" s="6">
        <v>0.0</v>
      </c>
      <c r="K20" s="6">
        <f t="shared" si="1"/>
        <v>0</v>
      </c>
      <c r="L20" s="7" t="s">
        <v>86</v>
      </c>
      <c r="M20" s="8" t="s">
        <v>87</v>
      </c>
    </row>
    <row r="21" ht="15.75" customHeight="1">
      <c r="A21" s="6" t="s">
        <v>88</v>
      </c>
      <c r="B21" s="6" t="s">
        <v>89</v>
      </c>
      <c r="C21" s="6" t="s">
        <v>90</v>
      </c>
      <c r="D21" s="6" t="s">
        <v>32</v>
      </c>
      <c r="E21" s="6">
        <v>0.0</v>
      </c>
      <c r="F21" s="6">
        <f>IF(COUNTIF(D21,"*UG*"),ROUND(E21*'Parameters + Programme Summary'!$C$5,0),0)</f>
        <v>0</v>
      </c>
      <c r="G21" s="6">
        <v>0.0</v>
      </c>
      <c r="H21" s="6">
        <v>0.0</v>
      </c>
      <c r="I21" s="6">
        <f>IF(COUNTIF(D21,"*UG*"),ROUND(E21*'Parameters + Programme Summary'!$C$6,0) + ROUND(H21/'Parameters + Programme Summary'!$C$7,0),ROUND(E21*ROUND('Parameters + Programme Summary'!$C$5 / 'Parameters + Programme Summary'!$C$7,0),0)+ROUND(E21*'Parameters + Programme Summary'!$C$6,0))</f>
        <v>0</v>
      </c>
      <c r="J21" s="6">
        <v>0.0</v>
      </c>
      <c r="K21" s="6">
        <f t="shared" si="1"/>
        <v>0</v>
      </c>
      <c r="L21" s="6"/>
    </row>
    <row r="22" ht="15.75" customHeight="1">
      <c r="A22" s="6" t="s">
        <v>91</v>
      </c>
      <c r="B22" s="6" t="s">
        <v>92</v>
      </c>
      <c r="C22" s="6" t="s">
        <v>93</v>
      </c>
      <c r="D22" s="6" t="s">
        <v>32</v>
      </c>
      <c r="E22" s="6">
        <v>0.0</v>
      </c>
      <c r="F22" s="6">
        <f>IF(COUNTIF(D22,"*UG*"),ROUND(E22*'Parameters + Programme Summary'!$C$5,0),0)</f>
        <v>0</v>
      </c>
      <c r="G22" s="6">
        <v>0.0</v>
      </c>
      <c r="H22" s="6">
        <v>0.0</v>
      </c>
      <c r="I22" s="6">
        <f>IF(COUNTIF(D22,"*UG*"),ROUND(E22*'Parameters + Programme Summary'!$C$6,0) + ROUND(H22/'Parameters + Programme Summary'!$C$7,0),ROUND(E22*ROUND('Parameters + Programme Summary'!$C$5 / 'Parameters + Programme Summary'!$C$7,0),0)+ROUND(E22*'Parameters + Programme Summary'!$C$6,0))</f>
        <v>0</v>
      </c>
      <c r="J22" s="6">
        <v>0.0</v>
      </c>
      <c r="K22" s="6">
        <f t="shared" si="1"/>
        <v>0</v>
      </c>
      <c r="L22" s="6"/>
    </row>
    <row r="23" ht="15.75" customHeight="1">
      <c r="A23" s="6" t="s">
        <v>94</v>
      </c>
      <c r="B23" s="6" t="s">
        <v>95</v>
      </c>
      <c r="C23" s="6" t="s">
        <v>96</v>
      </c>
      <c r="D23" s="6" t="s">
        <v>97</v>
      </c>
      <c r="E23" s="6">
        <v>0.0</v>
      </c>
      <c r="F23" s="6">
        <f>IF(COUNTIF(D23,"*UG*"),ROUND(E23*'Parameters + Programme Summary'!$C$5,0),0)</f>
        <v>0</v>
      </c>
      <c r="G23" s="6">
        <v>0.0</v>
      </c>
      <c r="H23" s="6">
        <v>0.0</v>
      </c>
      <c r="I23" s="6">
        <f>IF(COUNTIF(D23,"*UG*"),ROUND(E23*'Parameters + Programme Summary'!$C$6,0) + ROUND(H23/'Parameters + Programme Summary'!$C$7,0),ROUND(E23*ROUND('Parameters + Programme Summary'!$C$5 / 'Parameters + Programme Summary'!$C$7,0),0)+ROUND(E23*'Parameters + Programme Summary'!$C$6,0))</f>
        <v>0</v>
      </c>
      <c r="J23" s="6">
        <v>0.0</v>
      </c>
      <c r="K23" s="6">
        <f t="shared" si="1"/>
        <v>0</v>
      </c>
      <c r="L23" s="6"/>
    </row>
    <row r="24" ht="15.75" customHeight="1">
      <c r="A24" s="6" t="s">
        <v>98</v>
      </c>
      <c r="B24" s="6" t="s">
        <v>99</v>
      </c>
      <c r="C24" s="6" t="s">
        <v>100</v>
      </c>
      <c r="D24" s="6" t="s">
        <v>32</v>
      </c>
      <c r="E24" s="7">
        <v>0.5</v>
      </c>
      <c r="F24" s="6">
        <f>IF(COUNTIF(D24,"*UG*"),ROUND(E24*'Parameters + Programme Summary'!$C$5,0),0)</f>
        <v>3</v>
      </c>
      <c r="G24" s="7">
        <v>1.0</v>
      </c>
      <c r="H24" s="6">
        <v>0.0</v>
      </c>
      <c r="I24" s="6">
        <f>IF(COUNTIF(D24,"*UG*"),ROUND(E24*'Parameters + Programme Summary'!$C$6,0) + ROUND(H24/'Parameters + Programme Summary'!$C$7,0),ROUND(E24*ROUND('Parameters + Programme Summary'!$C$5 / 'Parameters + Programme Summary'!$C$7,0),0)+ROUND(E24*'Parameters + Programme Summary'!$C$6,0))</f>
        <v>1</v>
      </c>
      <c r="J24" s="6">
        <v>0.0</v>
      </c>
      <c r="K24" s="6">
        <f t="shared" si="1"/>
        <v>5</v>
      </c>
      <c r="L24" s="8" t="s">
        <v>101</v>
      </c>
      <c r="M24" s="8" t="s">
        <v>102</v>
      </c>
    </row>
    <row r="25" ht="15.75" customHeight="1">
      <c r="A25" s="6" t="s">
        <v>103</v>
      </c>
      <c r="B25" s="6" t="s">
        <v>104</v>
      </c>
      <c r="C25" s="6" t="s">
        <v>105</v>
      </c>
      <c r="D25" s="7" t="s">
        <v>24</v>
      </c>
      <c r="E25" s="6">
        <v>0.75</v>
      </c>
      <c r="F25" s="6">
        <f>IF(COUNTIF(D25,"*UG*"),ROUND(E25*'Parameters + Programme Summary'!$C$5,0),0)</f>
        <v>5</v>
      </c>
      <c r="G25" s="6">
        <v>0.0</v>
      </c>
      <c r="H25" s="7">
        <v>-1.0</v>
      </c>
      <c r="I25" s="6">
        <f>IF(COUNTIF(D25,"*UG*"),ROUND(E25*'Parameters + Programme Summary'!$C$6,0) + ROUND(H25/'Parameters + Programme Summary'!$C$7,0),ROUND(E25*ROUND('Parameters + Programme Summary'!$C$5 / 'Parameters + Programme Summary'!$C$7,0),0)+ROUND(E25*'Parameters + Programme Summary'!$C$6,0))</f>
        <v>0</v>
      </c>
      <c r="J25" s="6">
        <v>0.0</v>
      </c>
      <c r="K25" s="6">
        <f t="shared" si="1"/>
        <v>6</v>
      </c>
      <c r="L25" s="6"/>
    </row>
    <row r="26" ht="15.75" customHeight="1">
      <c r="A26" s="9" t="s">
        <v>106</v>
      </c>
      <c r="B26" s="9" t="s">
        <v>107</v>
      </c>
      <c r="C26" s="9" t="s">
        <v>108</v>
      </c>
      <c r="D26" s="9" t="s">
        <v>109</v>
      </c>
      <c r="E26" s="10">
        <v>0.5</v>
      </c>
      <c r="F26" s="9">
        <f>IF(COUNTIF(D26,"*UG*"),ROUND(E26*'Parameters + Programme Summary'!$C$5,0),0)</f>
        <v>3</v>
      </c>
      <c r="G26" s="9">
        <v>0.0</v>
      </c>
      <c r="H26" s="10">
        <v>0.0</v>
      </c>
      <c r="I26" s="9">
        <f>IF(COUNTIF(D26,"*UG*"),ROUND(E26*'Parameters + Programme Summary'!$C$6,0) + ROUND(H26/'Parameters + Programme Summary'!$C$7,0),ROUND(E26*ROUND('Parameters + Programme Summary'!$C$5 / 'Parameters + Programme Summary'!$C$7,0),0)+ROUND(E26*'Parameters + Programme Summary'!$C$6,0))</f>
        <v>1</v>
      </c>
      <c r="J26" s="9">
        <v>0.0</v>
      </c>
      <c r="K26" s="9">
        <f t="shared" si="1"/>
        <v>4</v>
      </c>
      <c r="L26" s="10" t="s">
        <v>110</v>
      </c>
      <c r="M26" s="8" t="s">
        <v>111</v>
      </c>
    </row>
    <row r="27" ht="15.75" customHeight="1">
      <c r="A27" s="6" t="s">
        <v>112</v>
      </c>
      <c r="B27" s="6" t="s">
        <v>113</v>
      </c>
      <c r="C27" s="6" t="s">
        <v>114</v>
      </c>
      <c r="D27" s="7" t="s">
        <v>109</v>
      </c>
      <c r="E27" s="6">
        <v>1.0</v>
      </c>
      <c r="F27" s="6">
        <f>IF(COUNTIF(D27,"*UG*"),ROUND(E27*'Parameters + Programme Summary'!$C$5,0),0)</f>
        <v>6</v>
      </c>
      <c r="G27" s="6">
        <v>0.0</v>
      </c>
      <c r="H27" s="7">
        <v>4.0</v>
      </c>
      <c r="I27" s="6">
        <f>IF(COUNTIF(D27,"*UG*"),ROUND(E27*'Parameters + Programme Summary'!$C$6,0) + ROUND(H27/'Parameters + Programme Summary'!$C$7,0),ROUND(E27*ROUND('Parameters + Programme Summary'!$C$5 / 'Parameters + Programme Summary'!$C$7,0),0)+ROUND(E27*'Parameters + Programme Summary'!$C$6,0))</f>
        <v>4</v>
      </c>
      <c r="J27" s="6">
        <v>0.0</v>
      </c>
      <c r="K27" s="6">
        <f t="shared" si="1"/>
        <v>6</v>
      </c>
      <c r="L27" s="6"/>
    </row>
    <row r="28" ht="15.75" customHeight="1">
      <c r="A28" s="6" t="s">
        <v>115</v>
      </c>
      <c r="B28" s="6" t="s">
        <v>116</v>
      </c>
      <c r="C28" s="6" t="s">
        <v>117</v>
      </c>
      <c r="D28" s="6" t="s">
        <v>109</v>
      </c>
      <c r="E28" s="7">
        <v>1.0</v>
      </c>
      <c r="F28" s="6">
        <f>IF(COUNTIF(D28,"*UG*"),ROUND(E28*'Parameters + Programme Summary'!$C$5,0),0)</f>
        <v>6</v>
      </c>
      <c r="G28" s="6">
        <v>0.0</v>
      </c>
      <c r="H28" s="7">
        <v>1.0</v>
      </c>
      <c r="I28" s="6">
        <f>IF(COUNTIF(D28,"*UG*"),ROUND(E28*'Parameters + Programme Summary'!$C$6,0) + ROUND(H28/'Parameters + Programme Summary'!$C$7,0),ROUND(E28*ROUND('Parameters + Programme Summary'!$C$5 / 'Parameters + Programme Summary'!$C$7,0),0)+ROUND(E28*'Parameters + Programme Summary'!$C$6,0))</f>
        <v>2</v>
      </c>
      <c r="J28" s="6">
        <v>0.0</v>
      </c>
      <c r="K28" s="6">
        <f t="shared" si="1"/>
        <v>7</v>
      </c>
    </row>
    <row r="29" ht="15.75" customHeight="1">
      <c r="A29" s="6" t="s">
        <v>118</v>
      </c>
      <c r="B29" s="6" t="s">
        <v>119</v>
      </c>
      <c r="C29" s="6" t="s">
        <v>120</v>
      </c>
      <c r="D29" s="7" t="s">
        <v>24</v>
      </c>
      <c r="E29" s="6">
        <v>1.0</v>
      </c>
      <c r="F29" s="6">
        <f>IF(COUNTIF(D29,"*UG*"),ROUND(E29*'Parameters + Programme Summary'!$C$5,0),0)</f>
        <v>6</v>
      </c>
      <c r="G29" s="6">
        <v>0.0</v>
      </c>
      <c r="H29" s="7">
        <v>0.0</v>
      </c>
      <c r="I29" s="6">
        <f>IF(COUNTIF(D29,"*UG*"),ROUND(E29*'Parameters + Programme Summary'!$C$6,0) + ROUND(H29/'Parameters + Programme Summary'!$C$7,0),ROUND(E29*ROUND('Parameters + Programme Summary'!$C$5 / 'Parameters + Programme Summary'!$C$7,0),0)+ROUND(E29*'Parameters + Programme Summary'!$C$6,0))</f>
        <v>1</v>
      </c>
      <c r="J29" s="6">
        <v>0.0</v>
      </c>
      <c r="K29" s="6">
        <f t="shared" si="1"/>
        <v>7</v>
      </c>
    </row>
    <row r="30" ht="15.75" customHeight="1">
      <c r="A30" s="6" t="s">
        <v>121</v>
      </c>
      <c r="B30" s="6" t="s">
        <v>122</v>
      </c>
      <c r="C30" s="6" t="s">
        <v>123</v>
      </c>
      <c r="D30" s="7" t="s">
        <v>124</v>
      </c>
      <c r="E30" s="6">
        <v>0.75</v>
      </c>
      <c r="F30" s="6">
        <f>IF(COUNTIF(D30,"*UG*"),ROUND(E30*'Parameters + Programme Summary'!$C$5,0),0)</f>
        <v>5</v>
      </c>
      <c r="G30" s="6">
        <v>0.0</v>
      </c>
      <c r="H30" s="6">
        <v>0.0</v>
      </c>
      <c r="I30" s="6">
        <f>IF(COUNTIF(D30,"*UG*"),ROUND(E30*'Parameters + Programme Summary'!$C$6,0) + ROUND(H30/'Parameters + Programme Summary'!$C$7,0),ROUND(E30*ROUND('Parameters + Programme Summary'!$C$5 / 'Parameters + Programme Summary'!$C$7,0),0)+ROUND(E30*'Parameters + Programme Summary'!$C$6,0))</f>
        <v>1</v>
      </c>
      <c r="J30" s="6">
        <v>0.0</v>
      </c>
      <c r="K30" s="6">
        <f t="shared" si="1"/>
        <v>6</v>
      </c>
      <c r="L30" s="7" t="s">
        <v>125</v>
      </c>
      <c r="M30" s="8" t="s">
        <v>102</v>
      </c>
    </row>
    <row r="31" ht="15.75" customHeight="1">
      <c r="A31" s="6" t="s">
        <v>126</v>
      </c>
      <c r="B31" s="6" t="s">
        <v>127</v>
      </c>
      <c r="C31" s="6" t="s">
        <v>128</v>
      </c>
      <c r="D31" s="7" t="s">
        <v>59</v>
      </c>
      <c r="E31" s="6">
        <v>1.0</v>
      </c>
      <c r="F31" s="6">
        <f>IF(COUNTIF(D31,"*UG*"),ROUND(E31*'Parameters + Programme Summary'!$C$5,0),0)</f>
        <v>6</v>
      </c>
      <c r="G31" s="7">
        <v>0.0</v>
      </c>
      <c r="H31" s="6">
        <v>0.0</v>
      </c>
      <c r="I31" s="6">
        <f>IF(COUNTIF(D31,"*UG*"),ROUND(E31*'Parameters + Programme Summary'!$C$6,0) + ROUND(H31/'Parameters + Programme Summary'!$C$7,0),ROUND(E31*ROUND('Parameters + Programme Summary'!$C$5 / 'Parameters + Programme Summary'!$C$7,0),0)+ROUND(E31*'Parameters + Programme Summary'!$C$6,0))</f>
        <v>1</v>
      </c>
      <c r="J31" s="6">
        <v>0.0</v>
      </c>
      <c r="K31" s="6">
        <f t="shared" si="1"/>
        <v>7</v>
      </c>
      <c r="L31" s="6"/>
    </row>
    <row r="32" ht="15.75" customHeight="1">
      <c r="A32" s="6" t="s">
        <v>129</v>
      </c>
      <c r="B32" s="6" t="s">
        <v>130</v>
      </c>
      <c r="C32" s="6" t="s">
        <v>131</v>
      </c>
      <c r="D32" s="6" t="s">
        <v>32</v>
      </c>
      <c r="E32" s="7">
        <v>0.25</v>
      </c>
      <c r="F32" s="6">
        <f>IF(COUNTIF(D32,"*UG*"),ROUND(E32*'Parameters + Programme Summary'!$C$5,0),0)</f>
        <v>2</v>
      </c>
      <c r="G32" s="6">
        <v>0.0</v>
      </c>
      <c r="H32" s="6">
        <v>0.0</v>
      </c>
      <c r="I32" s="6">
        <f>IF(COUNTIF(D32,"*UG*"),ROUND(E32*'Parameters + Programme Summary'!$C$6,0) + ROUND(H32/'Parameters + Programme Summary'!$C$7,0),ROUND(E32*ROUND('Parameters + Programme Summary'!$C$5 / 'Parameters + Programme Summary'!$C$7,0),0)+ROUND(E32*'Parameters + Programme Summary'!$C$6,0))</f>
        <v>0</v>
      </c>
      <c r="J32" s="6">
        <v>0.0</v>
      </c>
      <c r="K32" s="6">
        <f t="shared" si="1"/>
        <v>2</v>
      </c>
    </row>
    <row r="33" ht="15.75" customHeight="1">
      <c r="A33" s="6" t="s">
        <v>132</v>
      </c>
      <c r="B33" s="6" t="s">
        <v>133</v>
      </c>
      <c r="C33" s="6" t="s">
        <v>134</v>
      </c>
      <c r="D33" s="6" t="s">
        <v>32</v>
      </c>
      <c r="E33" s="6">
        <v>0.0</v>
      </c>
      <c r="F33" s="6">
        <f>IF(COUNTIF(D33,"*UG*"),ROUND(E33*'Parameters + Programme Summary'!$C$5,0),0)</f>
        <v>0</v>
      </c>
      <c r="G33" s="6">
        <v>0.0</v>
      </c>
      <c r="H33" s="6">
        <v>0.0</v>
      </c>
      <c r="I33" s="6">
        <f>IF(COUNTIF(D33,"*UG*"),ROUND(E33*'Parameters + Programme Summary'!$C$6,0) + ROUND(H33/'Parameters + Programme Summary'!$C$7,0),ROUND(E33*ROUND('Parameters + Programme Summary'!$C$5 / 'Parameters + Programme Summary'!$C$7,0),0)+ROUND(E33*'Parameters + Programme Summary'!$C$6,0))</f>
        <v>0</v>
      </c>
      <c r="J33" s="6">
        <v>0.0</v>
      </c>
      <c r="K33" s="6">
        <f t="shared" si="1"/>
        <v>0</v>
      </c>
      <c r="L33" s="6" t="s">
        <v>135</v>
      </c>
    </row>
    <row r="34" ht="15.75" customHeight="1">
      <c r="A34" s="6" t="s">
        <v>136</v>
      </c>
      <c r="B34" s="6" t="s">
        <v>137</v>
      </c>
      <c r="C34" s="6" t="s">
        <v>138</v>
      </c>
      <c r="D34" s="6" t="s">
        <v>69</v>
      </c>
      <c r="E34" s="6">
        <v>0.9</v>
      </c>
      <c r="F34" s="6">
        <f>IF(COUNTIF(D34,"*UG*"),ROUND(E34*'Parameters + Programme Summary'!$C$5,0),0)</f>
        <v>0</v>
      </c>
      <c r="G34" s="6">
        <v>0.0</v>
      </c>
      <c r="H34" s="6">
        <v>0.0</v>
      </c>
      <c r="I34" s="6">
        <f>IF(COUNTIF(D34,"*UG*"),ROUND(E34*'Parameters + Programme Summary'!$C$6,0) + ROUND(H34/'Parameters + Programme Summary'!$C$7,0),ROUND(E34*ROUND('Parameters + Programme Summary'!$C$5 / 'Parameters + Programme Summary'!$C$7,0),0)+ROUND(E34*'Parameters + Programme Summary'!$C$6,0))</f>
        <v>5</v>
      </c>
      <c r="J34" s="6">
        <v>0.0</v>
      </c>
      <c r="K34" s="6">
        <f t="shared" si="1"/>
        <v>5</v>
      </c>
      <c r="L34" s="6"/>
    </row>
    <row r="35" ht="15.75" customHeight="1">
      <c r="A35" s="6" t="s">
        <v>139</v>
      </c>
      <c r="B35" s="6" t="s">
        <v>140</v>
      </c>
      <c r="C35" s="6" t="s">
        <v>141</v>
      </c>
      <c r="D35" s="6" t="s">
        <v>32</v>
      </c>
      <c r="E35" s="7">
        <v>0.0</v>
      </c>
      <c r="F35" s="6">
        <f>IF(COUNTIF(D35,"*UG*"),ROUND(E35*'Parameters + Programme Summary'!$C$5,0),0)</f>
        <v>0</v>
      </c>
      <c r="G35" s="6">
        <v>0.0</v>
      </c>
      <c r="H35" s="6">
        <v>0.0</v>
      </c>
      <c r="I35" s="6">
        <f>IF(COUNTIF(D35,"*UG*"),ROUND(E35*'Parameters + Programme Summary'!$C$6,0) + ROUND(H35/'Parameters + Programme Summary'!$C$7,0),ROUND(E35*ROUND('Parameters + Programme Summary'!$C$5 / 'Parameters + Programme Summary'!$C$7,0),0)+ROUND(E35*'Parameters + Programme Summary'!$C$6,0))</f>
        <v>0</v>
      </c>
      <c r="J35" s="6">
        <v>0.0</v>
      </c>
      <c r="K35" s="6">
        <f t="shared" si="1"/>
        <v>0</v>
      </c>
      <c r="L35" s="6"/>
    </row>
    <row r="36" ht="15.75" customHeight="1">
      <c r="A36" s="8" t="s">
        <v>139</v>
      </c>
      <c r="B36" s="8" t="s">
        <v>142</v>
      </c>
      <c r="C36" s="8" t="s">
        <v>143</v>
      </c>
      <c r="D36" s="8" t="s">
        <v>59</v>
      </c>
      <c r="E36" s="8">
        <v>1.2</v>
      </c>
      <c r="F36" s="6">
        <f>IF(COUNTIF(D36,"*UG*"),ROUND(E36*'Parameters + Programme Summary'!$C$5,0),0)</f>
        <v>7</v>
      </c>
      <c r="G36" s="6">
        <v>0.0</v>
      </c>
      <c r="H36" s="7">
        <v>2.0</v>
      </c>
      <c r="I36" s="6">
        <f>IF(COUNTIF(D36,"*UG*"),ROUND(E36*'Parameters + Programme Summary'!$C$6,0) + ROUND(H36/'Parameters + Programme Summary'!$C$7,0),ROUND(E36*ROUND('Parameters + Programme Summary'!$C$5 / 'Parameters + Programme Summary'!$C$7,0),0)+ROUND(E36*'Parameters + Programme Summary'!$C$6,0))</f>
        <v>2</v>
      </c>
      <c r="J36" s="6">
        <v>0.0</v>
      </c>
      <c r="M36" s="8" t="s">
        <v>144</v>
      </c>
    </row>
    <row r="37" ht="15.75" customHeight="1">
      <c r="A37" s="6" t="s">
        <v>145</v>
      </c>
      <c r="B37" s="6" t="s">
        <v>146</v>
      </c>
      <c r="C37" s="6" t="s">
        <v>147</v>
      </c>
      <c r="D37" s="6" t="s">
        <v>24</v>
      </c>
      <c r="E37" s="6">
        <v>0.5</v>
      </c>
      <c r="F37" s="6">
        <f>IF(COUNTIF(D37,"*UG*"),ROUND(E37*'Parameters + Programme Summary'!$C$5,0),0)</f>
        <v>3</v>
      </c>
      <c r="G37" s="6">
        <v>0.0</v>
      </c>
      <c r="H37" s="6">
        <v>0.0</v>
      </c>
      <c r="I37" s="6">
        <f>IF(COUNTIF(D37,"*UG*"),ROUND(E37*'Parameters + Programme Summary'!$C$6,0) + ROUND(H37/'Parameters + Programme Summary'!$C$7,0),ROUND(E37*ROUND('Parameters + Programme Summary'!$C$5 / 'Parameters + Programme Summary'!$C$7,0),0)+ROUND(E37*'Parameters + Programme Summary'!$C$6,0))</f>
        <v>1</v>
      </c>
      <c r="J37" s="6">
        <v>0.0</v>
      </c>
      <c r="K37" s="6">
        <f t="shared" ref="K37:K66" si="2">F37+G37-H37+I37+J37</f>
        <v>4</v>
      </c>
      <c r="L37" s="11"/>
    </row>
    <row r="38" ht="15.75" customHeight="1">
      <c r="A38" s="6" t="s">
        <v>148</v>
      </c>
      <c r="B38" s="6" t="s">
        <v>149</v>
      </c>
      <c r="C38" s="6" t="s">
        <v>150</v>
      </c>
      <c r="D38" s="6" t="s">
        <v>69</v>
      </c>
      <c r="E38" s="10">
        <v>1.0</v>
      </c>
      <c r="F38" s="6">
        <f>IF(COUNTIF(D38,"*UG*"),ROUND(E38*'Parameters + Programme Summary'!$C$5,0),0)</f>
        <v>0</v>
      </c>
      <c r="G38" s="6">
        <v>0.0</v>
      </c>
      <c r="H38" s="6">
        <v>0.0</v>
      </c>
      <c r="I38" s="6">
        <f>IF(COUNTIF(D38,"*UG*"),ROUND(E38*'Parameters + Programme Summary'!$C$6,0) + ROUND(H38/'Parameters + Programme Summary'!$C$7,0),ROUND(E38*ROUND('Parameters + Programme Summary'!$C$5 / 'Parameters + Programme Summary'!$C$7,0),0)+ROUND(E38*'Parameters + Programme Summary'!$C$6,0))</f>
        <v>5</v>
      </c>
      <c r="J38" s="6">
        <v>0.0</v>
      </c>
      <c r="K38" s="6">
        <f t="shared" si="2"/>
        <v>5</v>
      </c>
      <c r="L38" s="12" t="s">
        <v>151</v>
      </c>
    </row>
    <row r="39" ht="15.75" customHeight="1">
      <c r="A39" s="6" t="s">
        <v>152</v>
      </c>
      <c r="B39" s="6" t="s">
        <v>153</v>
      </c>
      <c r="C39" s="6" t="s">
        <v>154</v>
      </c>
      <c r="D39" s="7" t="s">
        <v>32</v>
      </c>
      <c r="E39" s="7">
        <v>0.75</v>
      </c>
      <c r="F39" s="6">
        <f>IF(COUNTIF(D39,"*UG*"),ROUND(E39*'Parameters + Programme Summary'!$C$5,0),0)</f>
        <v>5</v>
      </c>
      <c r="G39" s="6">
        <v>0.0</v>
      </c>
      <c r="H39" s="7">
        <v>1.0</v>
      </c>
      <c r="I39" s="6">
        <f>IF(COUNTIF(D39,"*UG*"),ROUND(E39*'Parameters + Programme Summary'!$C$6,0) + ROUND(H39/'Parameters + Programme Summary'!$C$7,0),ROUND(E39*ROUND('Parameters + Programme Summary'!$C$5 / 'Parameters + Programme Summary'!$C$7,0),0)+ROUND(E39*'Parameters + Programme Summary'!$C$6,0))</f>
        <v>2</v>
      </c>
      <c r="J39" s="6">
        <v>0.0</v>
      </c>
      <c r="K39" s="6">
        <f t="shared" si="2"/>
        <v>6</v>
      </c>
      <c r="L39" s="6"/>
      <c r="M39" s="8" t="s">
        <v>155</v>
      </c>
    </row>
    <row r="40" ht="15.75" customHeight="1">
      <c r="A40" s="6" t="s">
        <v>156</v>
      </c>
      <c r="B40" s="6" t="s">
        <v>157</v>
      </c>
      <c r="C40" s="6" t="s">
        <v>158</v>
      </c>
      <c r="D40" s="6" t="s">
        <v>32</v>
      </c>
      <c r="E40" s="7">
        <v>0.5</v>
      </c>
      <c r="F40" s="6">
        <f>IF(COUNTIF(D40,"*UG*"),ROUND(E40*'Parameters + Programme Summary'!$C$5,0),0)</f>
        <v>3</v>
      </c>
      <c r="G40" s="6">
        <v>0.0</v>
      </c>
      <c r="H40" s="7">
        <v>1.0</v>
      </c>
      <c r="I40" s="6">
        <f>IF(COUNTIF(D40,"*UG*"),ROUND(E40*'Parameters + Programme Summary'!$C$6,0) + ROUND(H40/'Parameters + Programme Summary'!$C$7,0),ROUND(E40*ROUND('Parameters + Programme Summary'!$C$5 / 'Parameters + Programme Summary'!$C$7,0),0)+ROUND(E40*'Parameters + Programme Summary'!$C$6,0))</f>
        <v>2</v>
      </c>
      <c r="J40" s="6">
        <v>0.0</v>
      </c>
      <c r="K40" s="6">
        <f t="shared" si="2"/>
        <v>4</v>
      </c>
      <c r="L40" s="6"/>
    </row>
    <row r="41" ht="15.75" customHeight="1">
      <c r="A41" s="6" t="s">
        <v>159</v>
      </c>
      <c r="B41" s="6" t="s">
        <v>160</v>
      </c>
      <c r="C41" s="6" t="s">
        <v>161</v>
      </c>
      <c r="D41" s="6" t="s">
        <v>24</v>
      </c>
      <c r="E41" s="6">
        <v>0.5</v>
      </c>
      <c r="F41" s="6">
        <f>IF(COUNTIF(D41,"*UG*"),ROUND(E41*'Parameters + Programme Summary'!$C$5,0),0)</f>
        <v>3</v>
      </c>
      <c r="G41" s="7">
        <v>0.0</v>
      </c>
      <c r="H41" s="6">
        <v>0.0</v>
      </c>
      <c r="I41" s="6">
        <f>IF(COUNTIF(D41,"*UG*"),ROUND(E41*'Parameters + Programme Summary'!$C$6,0) + ROUND(H41/'Parameters + Programme Summary'!$C$7,0),ROUND(E41*ROUND('Parameters + Programme Summary'!$C$5 / 'Parameters + Programme Summary'!$C$7,0),0)+ROUND(E41*'Parameters + Programme Summary'!$C$6,0))</f>
        <v>1</v>
      </c>
      <c r="J41" s="6">
        <v>0.0</v>
      </c>
      <c r="K41" s="6">
        <f t="shared" si="2"/>
        <v>4</v>
      </c>
      <c r="L41" s="6"/>
    </row>
    <row r="42" ht="15.75" customHeight="1">
      <c r="A42" s="6" t="s">
        <v>162</v>
      </c>
      <c r="B42" s="6" t="s">
        <v>163</v>
      </c>
      <c r="C42" s="6" t="s">
        <v>164</v>
      </c>
      <c r="D42" s="6" t="s">
        <v>24</v>
      </c>
      <c r="E42" s="7">
        <v>0.7</v>
      </c>
      <c r="F42" s="6">
        <f>IF(COUNTIF(D42,"*UG*"),ROUND(E42*'Parameters + Programme Summary'!$C$5,0),0)</f>
        <v>4</v>
      </c>
      <c r="G42" s="6">
        <v>0.0</v>
      </c>
      <c r="H42" s="6">
        <v>0.0</v>
      </c>
      <c r="I42" s="6">
        <f>IF(COUNTIF(D42,"*UG*"),ROUND(E42*'Parameters + Programme Summary'!$C$6,0) + ROUND(H42/'Parameters + Programme Summary'!$C$7,0),ROUND(E42*ROUND('Parameters + Programme Summary'!$C$5 / 'Parameters + Programme Summary'!$C$7,0),0)+ROUND(E42*'Parameters + Programme Summary'!$C$6,0))</f>
        <v>1</v>
      </c>
      <c r="J42" s="6">
        <v>0.0</v>
      </c>
      <c r="K42" s="6">
        <f t="shared" si="2"/>
        <v>5</v>
      </c>
      <c r="L42" s="7" t="s">
        <v>165</v>
      </c>
    </row>
    <row r="43" ht="15.75" customHeight="1">
      <c r="A43" s="6" t="s">
        <v>166</v>
      </c>
      <c r="B43" s="6" t="s">
        <v>167</v>
      </c>
      <c r="C43" s="6" t="s">
        <v>168</v>
      </c>
      <c r="D43" s="6" t="s">
        <v>32</v>
      </c>
      <c r="E43" s="6">
        <v>1.0</v>
      </c>
      <c r="F43" s="6">
        <f>IF(COUNTIF(D43,"*UG*"),ROUND(E43*'Parameters + Programme Summary'!$C$5,0),0)</f>
        <v>6</v>
      </c>
      <c r="G43" s="7">
        <v>6.0</v>
      </c>
      <c r="H43" s="7">
        <v>0.0</v>
      </c>
      <c r="I43" s="6">
        <f>IF(COUNTIF(D43,"*UG*"),ROUND(E43*'Parameters + Programme Summary'!$C$6,0) + ROUND(H43/'Parameters + Programme Summary'!$C$7,0),ROUND(E43*ROUND('Parameters + Programme Summary'!$C$5 / 'Parameters + Programme Summary'!$C$7,0),0)+ROUND(E43*'Parameters + Programme Summary'!$C$6,0))</f>
        <v>1</v>
      </c>
      <c r="J43" s="6">
        <v>0.0</v>
      </c>
      <c r="K43" s="6">
        <f t="shared" si="2"/>
        <v>13</v>
      </c>
      <c r="L43" s="6"/>
    </row>
    <row r="44" ht="15.75" customHeight="1">
      <c r="A44" s="13" t="s">
        <v>169</v>
      </c>
      <c r="B44" s="8" t="s">
        <v>170</v>
      </c>
      <c r="C44" s="8" t="s">
        <v>171</v>
      </c>
      <c r="D44" s="8" t="s">
        <v>59</v>
      </c>
      <c r="E44" s="8">
        <v>0.25</v>
      </c>
      <c r="F44" s="6">
        <f>IF(COUNTIF(D44,"*UG*"),ROUND(E44*'Parameters + Programme Summary'!$C$5,0),0)</f>
        <v>2</v>
      </c>
      <c r="G44" s="6">
        <v>0.0</v>
      </c>
      <c r="H44" s="6">
        <v>0.0</v>
      </c>
      <c r="I44" s="6">
        <f>IF(COUNTIF(D44,"*UG*"),ROUND(E44*'Parameters + Programme Summary'!$C$6,0) + ROUND(H44/'Parameters + Programme Summary'!$C$7,0),ROUND(E44*ROUND('Parameters + Programme Summary'!$C$5 / 'Parameters + Programme Summary'!$C$7,0),0)+ROUND(E44*'Parameters + Programme Summary'!$C$6,0))</f>
        <v>0</v>
      </c>
      <c r="J44" s="6">
        <v>0.0</v>
      </c>
      <c r="K44" s="6">
        <f t="shared" si="2"/>
        <v>2</v>
      </c>
      <c r="M44" s="8" t="s">
        <v>172</v>
      </c>
    </row>
    <row r="45" ht="15.75" customHeight="1">
      <c r="A45" s="6" t="s">
        <v>173</v>
      </c>
      <c r="B45" s="6" t="s">
        <v>174</v>
      </c>
      <c r="C45" s="6" t="s">
        <v>175</v>
      </c>
      <c r="D45" s="7" t="s">
        <v>24</v>
      </c>
      <c r="E45" s="6">
        <v>0.25</v>
      </c>
      <c r="F45" s="6">
        <f>IF(COUNTIF(D45,"*UG*"),ROUND(E45*'Parameters + Programme Summary'!$C$5,0),0)</f>
        <v>2</v>
      </c>
      <c r="G45" s="6">
        <v>0.0</v>
      </c>
      <c r="H45" s="7">
        <v>2.0</v>
      </c>
      <c r="I45" s="6">
        <f>IF(COUNTIF(D45,"*UG*"),ROUND(E45*'Parameters + Programme Summary'!$C$6,0) + ROUND(H45/'Parameters + Programme Summary'!$C$7,0),ROUND(E45*ROUND('Parameters + Programme Summary'!$C$5 / 'Parameters + Programme Summary'!$C$7,0),0)+ROUND(E45*'Parameters + Programme Summary'!$C$6,0))</f>
        <v>1</v>
      </c>
      <c r="J45" s="6">
        <v>0.0</v>
      </c>
      <c r="K45" s="6">
        <f t="shared" si="2"/>
        <v>1</v>
      </c>
      <c r="L45" s="6"/>
      <c r="M45" s="8" t="s">
        <v>176</v>
      </c>
    </row>
    <row r="46" ht="15.75" customHeight="1">
      <c r="A46" s="6" t="s">
        <v>177</v>
      </c>
      <c r="B46" s="6" t="s">
        <v>178</v>
      </c>
      <c r="C46" s="6" t="s">
        <v>179</v>
      </c>
      <c r="D46" s="7" t="s">
        <v>24</v>
      </c>
      <c r="E46" s="6">
        <v>1.0</v>
      </c>
      <c r="F46" s="6">
        <f>IF(COUNTIF(D46,"*UG*"),ROUND(E46*'Parameters + Programme Summary'!$C$5,0),0)</f>
        <v>6</v>
      </c>
      <c r="G46" s="6">
        <v>0.0</v>
      </c>
      <c r="H46" s="7">
        <v>2.0</v>
      </c>
      <c r="I46" s="6">
        <f>IF(COUNTIF(D46,"*UG*"),ROUND(E46*'Parameters + Programme Summary'!$C$6,0) + ROUND(H46/'Parameters + Programme Summary'!$C$7,0),ROUND(E46*ROUND('Parameters + Programme Summary'!$C$5 / 'Parameters + Programme Summary'!$C$7,0),0)+ROUND(E46*'Parameters + Programme Summary'!$C$6,0))</f>
        <v>2</v>
      </c>
      <c r="J46" s="6">
        <v>0.0</v>
      </c>
      <c r="K46" s="6">
        <f t="shared" si="2"/>
        <v>6</v>
      </c>
      <c r="L46" s="11"/>
      <c r="M46" s="8" t="s">
        <v>180</v>
      </c>
    </row>
    <row r="47" ht="15.75" customHeight="1">
      <c r="A47" s="6" t="s">
        <v>177</v>
      </c>
      <c r="B47" s="6" t="s">
        <v>181</v>
      </c>
      <c r="C47" s="6" t="s">
        <v>182</v>
      </c>
      <c r="D47" s="6" t="s">
        <v>32</v>
      </c>
      <c r="E47" s="7">
        <v>0.0</v>
      </c>
      <c r="F47" s="6">
        <f>IF(COUNTIF(D47,"*UG*"),ROUND(E47*'Parameters + Programme Summary'!$C$5,0),0)</f>
        <v>0</v>
      </c>
      <c r="G47" s="6">
        <v>0.0</v>
      </c>
      <c r="H47" s="6">
        <v>0.0</v>
      </c>
      <c r="I47" s="6">
        <f>IF(COUNTIF(D47,"*UG*"),ROUND(E47*'Parameters + Programme Summary'!$C$6,0) + ROUND(H47/'Parameters + Programme Summary'!$C$7,0),ROUND(E47*ROUND('Parameters + Programme Summary'!$C$5 / 'Parameters + Programme Summary'!$C$7,0),0)+ROUND(E47*'Parameters + Programme Summary'!$C$6,0))</f>
        <v>0</v>
      </c>
      <c r="J47" s="6">
        <v>0.0</v>
      </c>
      <c r="K47" s="6">
        <f t="shared" si="2"/>
        <v>0</v>
      </c>
      <c r="L47" s="7" t="s">
        <v>183</v>
      </c>
    </row>
    <row r="48" ht="15.75" customHeight="1">
      <c r="A48" s="6" t="s">
        <v>184</v>
      </c>
      <c r="B48" s="6" t="s">
        <v>185</v>
      </c>
      <c r="C48" s="6" t="s">
        <v>186</v>
      </c>
      <c r="D48" s="7" t="s">
        <v>24</v>
      </c>
      <c r="E48" s="6">
        <v>0.75</v>
      </c>
      <c r="F48" s="6">
        <f>IF(COUNTIF(D48,"*UG*"),ROUND(E48*'Parameters + Programme Summary'!$C$5,0),0)</f>
        <v>5</v>
      </c>
      <c r="G48" s="6">
        <v>0.0</v>
      </c>
      <c r="H48" s="7">
        <v>1.0</v>
      </c>
      <c r="I48" s="6">
        <f>IF(COUNTIF(D48,"*UG*"),ROUND(E48*'Parameters + Programme Summary'!$C$6,0) + ROUND(H48/'Parameters + Programme Summary'!$C$7,0),ROUND(E48*ROUND('Parameters + Programme Summary'!$C$5 / 'Parameters + Programme Summary'!$C$7,0),0)+ROUND(E48*'Parameters + Programme Summary'!$C$6,0))</f>
        <v>2</v>
      </c>
      <c r="J48" s="6">
        <v>0.0</v>
      </c>
      <c r="K48" s="6">
        <f t="shared" si="2"/>
        <v>6</v>
      </c>
      <c r="L48" s="6"/>
    </row>
    <row r="49" ht="15.75" customHeight="1">
      <c r="A49" s="8" t="s">
        <v>187</v>
      </c>
      <c r="B49" s="8" t="s">
        <v>188</v>
      </c>
      <c r="C49" s="8" t="s">
        <v>189</v>
      </c>
      <c r="D49" s="8" t="s">
        <v>32</v>
      </c>
      <c r="E49" s="8">
        <v>0.25</v>
      </c>
      <c r="F49" s="6">
        <f>IF(COUNTIF(D49,"*UG*"),ROUND(E49*'Parameters + Programme Summary'!$C$5,0),0)</f>
        <v>2</v>
      </c>
      <c r="G49" s="6">
        <v>0.0</v>
      </c>
      <c r="H49" s="7">
        <v>1.0</v>
      </c>
      <c r="I49" s="6">
        <f>IF(COUNTIF(D49,"*UG*"),ROUND(E49*'Parameters + Programme Summary'!$C$6,0) + ROUND(H49/'Parameters + Programme Summary'!$C$7,0),ROUND(E49*ROUND('Parameters + Programme Summary'!$C$5 / 'Parameters + Programme Summary'!$C$7,0),0)+ROUND(E49*'Parameters + Programme Summary'!$C$6,0))</f>
        <v>1</v>
      </c>
      <c r="J49" s="6">
        <v>0.0</v>
      </c>
      <c r="K49" s="6">
        <f t="shared" si="2"/>
        <v>2</v>
      </c>
    </row>
    <row r="50" ht="15.75" customHeight="1">
      <c r="A50" s="6" t="s">
        <v>190</v>
      </c>
      <c r="B50" s="6" t="s">
        <v>191</v>
      </c>
      <c r="C50" s="6" t="s">
        <v>192</v>
      </c>
      <c r="D50" s="6" t="s">
        <v>42</v>
      </c>
      <c r="E50" s="7">
        <v>1.0</v>
      </c>
      <c r="F50" s="6">
        <f>IF(COUNTIF(D50,"*UG*"),ROUND(E50*'Parameters + Programme Summary'!$C$5,0),0)</f>
        <v>6</v>
      </c>
      <c r="G50" s="6">
        <v>0.0</v>
      </c>
      <c r="H50" s="7">
        <v>3.0</v>
      </c>
      <c r="I50" s="6">
        <f>IF(COUNTIF(D50,"*UG*"),ROUND(E50*'Parameters + Programme Summary'!$C$6,0) + ROUND(H50/'Parameters + Programme Summary'!$C$7,0),ROUND(E50*ROUND('Parameters + Programme Summary'!$C$5 / 'Parameters + Programme Summary'!$C$7,0),0)+ROUND(E50*'Parameters + Programme Summary'!$C$6,0))</f>
        <v>3</v>
      </c>
      <c r="J50" s="6">
        <v>0.0</v>
      </c>
      <c r="K50" s="6">
        <f t="shared" si="2"/>
        <v>6</v>
      </c>
    </row>
    <row r="51" ht="15.75" customHeight="1">
      <c r="A51" s="6" t="s">
        <v>193</v>
      </c>
      <c r="B51" s="6" t="s">
        <v>194</v>
      </c>
      <c r="C51" s="6" t="s">
        <v>195</v>
      </c>
      <c r="D51" s="6" t="s">
        <v>32</v>
      </c>
      <c r="E51" s="6">
        <v>1.0</v>
      </c>
      <c r="F51" s="6">
        <f>IF(COUNTIF(D51,"*UG*"),ROUND(E51*'Parameters + Programme Summary'!$C$5,0),0)</f>
        <v>6</v>
      </c>
      <c r="G51" s="6">
        <v>0.0</v>
      </c>
      <c r="H51" s="6">
        <v>0.0</v>
      </c>
      <c r="I51" s="6">
        <f>IF(COUNTIF(D51,"*UG*"),ROUND(E51*'Parameters + Programme Summary'!$C$6,0) + ROUND(H51/'Parameters + Programme Summary'!$C$7,0),ROUND(E51*ROUND('Parameters + Programme Summary'!$C$5 / 'Parameters + Programme Summary'!$C$7,0),0)+ROUND(E51*'Parameters + Programme Summary'!$C$6,0))</f>
        <v>1</v>
      </c>
      <c r="J51" s="6">
        <v>0.0</v>
      </c>
      <c r="K51" s="6">
        <f t="shared" si="2"/>
        <v>7</v>
      </c>
      <c r="L51" s="14" t="s">
        <v>196</v>
      </c>
    </row>
    <row r="52" ht="15.75" customHeight="1">
      <c r="A52" s="6" t="s">
        <v>197</v>
      </c>
      <c r="B52" s="6" t="s">
        <v>198</v>
      </c>
      <c r="C52" s="6" t="s">
        <v>199</v>
      </c>
      <c r="D52" s="6" t="s">
        <v>69</v>
      </c>
      <c r="E52" s="6">
        <v>1.5</v>
      </c>
      <c r="F52" s="6">
        <f>IF(COUNTIF(D52,"*UG*"),ROUND(E52*'Parameters + Programme Summary'!$C$5,0),0)</f>
        <v>0</v>
      </c>
      <c r="G52" s="6">
        <v>0.0</v>
      </c>
      <c r="H52" s="6">
        <v>0.0</v>
      </c>
      <c r="I52" s="6">
        <f>IF(COUNTIF(D52,"*UG*"),ROUND(E52*'Parameters + Programme Summary'!$C$6,0) + ROUND(H52/'Parameters + Programme Summary'!$C$7,0),ROUND(E52*ROUND('Parameters + Programme Summary'!$C$5 / 'Parameters + Programme Summary'!$C$7,0),0)+ROUND(E52*'Parameters + Programme Summary'!$C$6,0))</f>
        <v>8</v>
      </c>
      <c r="J52" s="6">
        <v>0.0</v>
      </c>
      <c r="K52" s="6">
        <f t="shared" si="2"/>
        <v>8</v>
      </c>
      <c r="L52" s="7" t="s">
        <v>200</v>
      </c>
    </row>
    <row r="53" ht="15.75" customHeight="1">
      <c r="A53" s="6" t="s">
        <v>201</v>
      </c>
      <c r="B53" s="6" t="s">
        <v>202</v>
      </c>
      <c r="C53" s="6" t="s">
        <v>203</v>
      </c>
      <c r="D53" s="7" t="s">
        <v>42</v>
      </c>
      <c r="E53" s="6">
        <v>1.0</v>
      </c>
      <c r="F53" s="6">
        <f>IF(COUNTIF(D53,"*UG*"),ROUND(E53*'Parameters + Programme Summary'!$C$5,0),0)</f>
        <v>6</v>
      </c>
      <c r="G53" s="6">
        <v>0.0</v>
      </c>
      <c r="H53" s="7">
        <v>3.0</v>
      </c>
      <c r="I53" s="6">
        <f>IF(COUNTIF(D53,"*UG*"),ROUND(E53*'Parameters + Programme Summary'!$C$6,0) + ROUND(H53/'Parameters + Programme Summary'!$C$7,0),ROUND(E53*ROUND('Parameters + Programme Summary'!$C$5 / 'Parameters + Programme Summary'!$C$7,0),0)+ROUND(E53*'Parameters + Programme Summary'!$C$6,0))</f>
        <v>3</v>
      </c>
      <c r="J53" s="6">
        <v>0.0</v>
      </c>
      <c r="K53" s="6">
        <f t="shared" si="2"/>
        <v>6</v>
      </c>
      <c r="L53" s="6"/>
    </row>
    <row r="54" ht="15.75" customHeight="1">
      <c r="A54" s="6" t="s">
        <v>204</v>
      </c>
      <c r="B54" s="6" t="s">
        <v>205</v>
      </c>
      <c r="C54" s="6" t="s">
        <v>206</v>
      </c>
      <c r="D54" s="6" t="s">
        <v>32</v>
      </c>
      <c r="E54" s="7">
        <v>0.25</v>
      </c>
      <c r="F54" s="6">
        <f>IF(COUNTIF(D54,"*UG*"),ROUND(E54*'Parameters + Programme Summary'!$C$5,0),0)</f>
        <v>2</v>
      </c>
      <c r="G54" s="6">
        <v>0.0</v>
      </c>
      <c r="H54" s="6">
        <v>0.0</v>
      </c>
      <c r="I54" s="6">
        <f>IF(COUNTIF(D54,"*UG*"),ROUND(E54*'Parameters + Programme Summary'!$C$6,0) + ROUND(H54/'Parameters + Programme Summary'!$C$7,0),ROUND(E54*ROUND('Parameters + Programme Summary'!$C$5 / 'Parameters + Programme Summary'!$C$7,0),0)+ROUND(E54*'Parameters + Programme Summary'!$C$6,0))</f>
        <v>0</v>
      </c>
      <c r="J54" s="6">
        <v>0.0</v>
      </c>
      <c r="K54" s="6">
        <f t="shared" si="2"/>
        <v>2</v>
      </c>
      <c r="L54" s="6"/>
    </row>
    <row r="55" ht="15.75" customHeight="1">
      <c r="A55" s="6" t="s">
        <v>204</v>
      </c>
      <c r="B55" s="6" t="s">
        <v>207</v>
      </c>
      <c r="C55" s="6" t="s">
        <v>208</v>
      </c>
      <c r="D55" s="6" t="s">
        <v>32</v>
      </c>
      <c r="E55" s="6">
        <v>0.25</v>
      </c>
      <c r="F55" s="6">
        <f>IF(COUNTIF(D55,"*UG*"),ROUND(E55*'Parameters + Programme Summary'!$C$5,0),0)</f>
        <v>2</v>
      </c>
      <c r="G55" s="6">
        <v>0.0</v>
      </c>
      <c r="H55" s="6">
        <v>0.0</v>
      </c>
      <c r="I55" s="6">
        <f>IF(COUNTIF(D55,"*UG*"),ROUND(E55*'Parameters + Programme Summary'!$C$6,0) + ROUND(H55/'Parameters + Programme Summary'!$C$7,0),ROUND(E55*ROUND('Parameters + Programme Summary'!$C$5 / 'Parameters + Programme Summary'!$C$7,0),0)+ROUND(E55*'Parameters + Programme Summary'!$C$6,0))</f>
        <v>0</v>
      </c>
      <c r="J55" s="6">
        <v>0.0</v>
      </c>
      <c r="K55" s="6">
        <f t="shared" si="2"/>
        <v>2</v>
      </c>
      <c r="L55" s="6"/>
    </row>
    <row r="56" ht="15.75" customHeight="1">
      <c r="A56" s="6" t="s">
        <v>209</v>
      </c>
      <c r="B56" s="6" t="s">
        <v>210</v>
      </c>
      <c r="C56" s="6" t="s">
        <v>211</v>
      </c>
      <c r="D56" s="6" t="s">
        <v>24</v>
      </c>
      <c r="E56" s="7">
        <v>0.0</v>
      </c>
      <c r="F56" s="6">
        <f>IF(COUNTIF(D56,"*UG*"),ROUND(E56*'Parameters + Programme Summary'!$C$5,0),0)</f>
        <v>0</v>
      </c>
      <c r="G56" s="6">
        <v>0.0</v>
      </c>
      <c r="H56" s="6">
        <v>0.0</v>
      </c>
      <c r="I56" s="6">
        <f>IF(COUNTIF(D56,"*UG*"),ROUND(E56*'Parameters + Programme Summary'!$C$6,0) + ROUND(H56/'Parameters + Programme Summary'!$C$7,0),ROUND(E56*ROUND('Parameters + Programme Summary'!$C$5 / 'Parameters + Programme Summary'!$C$7,0),0)+ROUND(E56*'Parameters + Programme Summary'!$C$6,0))</f>
        <v>0</v>
      </c>
      <c r="J56" s="6">
        <v>0.0</v>
      </c>
      <c r="K56" s="6">
        <f t="shared" si="2"/>
        <v>0</v>
      </c>
      <c r="L56" s="11"/>
    </row>
    <row r="57" ht="15.75" customHeight="1">
      <c r="A57" s="6" t="s">
        <v>212</v>
      </c>
      <c r="B57" s="6" t="s">
        <v>213</v>
      </c>
      <c r="C57" s="6" t="s">
        <v>214</v>
      </c>
      <c r="D57" s="6" t="s">
        <v>32</v>
      </c>
      <c r="E57" s="6">
        <v>1.0</v>
      </c>
      <c r="F57" s="6">
        <f>IF(COUNTIF(D57,"*UG*"),ROUND(E57*'Parameters + Programme Summary'!$C$5,0),0)</f>
        <v>6</v>
      </c>
      <c r="G57" s="6">
        <v>0.0</v>
      </c>
      <c r="H57" s="7">
        <v>3.0</v>
      </c>
      <c r="I57" s="6">
        <f>IF(COUNTIF(D57,"*UG*"),ROUND(E57*'Parameters + Programme Summary'!$C$6,0) + ROUND(H57/'Parameters + Programme Summary'!$C$7,0),ROUND(E57*ROUND('Parameters + Programme Summary'!$C$5 / 'Parameters + Programme Summary'!$C$7,0),0)+ROUND(E57*'Parameters + Programme Summary'!$C$6,0))</f>
        <v>3</v>
      </c>
      <c r="J57" s="6">
        <v>0.0</v>
      </c>
      <c r="K57" s="6">
        <f t="shared" si="2"/>
        <v>6</v>
      </c>
    </row>
    <row r="58" ht="15.75" customHeight="1">
      <c r="A58" s="6" t="s">
        <v>215</v>
      </c>
      <c r="B58" s="6" t="s">
        <v>216</v>
      </c>
      <c r="C58" s="6" t="s">
        <v>217</v>
      </c>
      <c r="D58" s="6" t="s">
        <v>32</v>
      </c>
      <c r="E58" s="6">
        <v>0.0</v>
      </c>
      <c r="F58" s="6">
        <f>IF(COUNTIF(D58,"*UG*"),ROUND(E58*'Parameters + Programme Summary'!$C$5,0),0)</f>
        <v>0</v>
      </c>
      <c r="G58" s="6">
        <v>0.0</v>
      </c>
      <c r="H58" s="6">
        <v>0.0</v>
      </c>
      <c r="I58" s="6">
        <f>IF(COUNTIF(D58,"*UG*"),ROUND(E58*'Parameters + Programme Summary'!$C$6,0) + ROUND(H58/'Parameters + Programme Summary'!$C$7,0),ROUND(E58*ROUND('Parameters + Programme Summary'!$C$5 / 'Parameters + Programme Summary'!$C$7,0),0)+ROUND(E58*'Parameters + Programme Summary'!$C$6,0))</f>
        <v>0</v>
      </c>
      <c r="J58" s="6">
        <v>0.0</v>
      </c>
      <c r="K58" s="6">
        <f t="shared" si="2"/>
        <v>0</v>
      </c>
      <c r="L58" s="6"/>
    </row>
    <row r="59" ht="15.75" customHeight="1">
      <c r="A59" s="6" t="s">
        <v>218</v>
      </c>
      <c r="B59" s="6" t="s">
        <v>219</v>
      </c>
      <c r="C59" s="6" t="s">
        <v>220</v>
      </c>
      <c r="D59" s="6" t="s">
        <v>32</v>
      </c>
      <c r="E59" s="6">
        <v>0.5</v>
      </c>
      <c r="F59" s="6">
        <f>IF(COUNTIF(D59,"*UG*"),ROUND(E59*'Parameters + Programme Summary'!$C$5,0),0)</f>
        <v>3</v>
      </c>
      <c r="G59" s="6">
        <v>0.0</v>
      </c>
      <c r="H59" s="7">
        <v>0.0</v>
      </c>
      <c r="I59" s="6">
        <f>IF(COUNTIF(D59,"*UG*"),ROUND(E59*'Parameters + Programme Summary'!$C$6,0) + ROUND(H59/'Parameters + Programme Summary'!$C$7,0),ROUND(E59*ROUND('Parameters + Programme Summary'!$C$5 / 'Parameters + Programme Summary'!$C$7,0),0)+ROUND(E59*'Parameters + Programme Summary'!$C$6,0))</f>
        <v>1</v>
      </c>
      <c r="J59" s="6">
        <v>0.0</v>
      </c>
      <c r="K59" s="6">
        <f t="shared" si="2"/>
        <v>4</v>
      </c>
      <c r="L59" s="6"/>
    </row>
    <row r="60" ht="15.75" customHeight="1">
      <c r="A60" s="6" t="s">
        <v>221</v>
      </c>
      <c r="B60" s="6" t="s">
        <v>222</v>
      </c>
      <c r="C60" s="6" t="s">
        <v>223</v>
      </c>
      <c r="D60" s="7" t="s">
        <v>59</v>
      </c>
      <c r="E60" s="6">
        <v>0.75</v>
      </c>
      <c r="F60" s="6">
        <f>IF(COUNTIF(D60,"*UG*"),ROUND(E60*'Parameters + Programme Summary'!$C$5,0),0)</f>
        <v>5</v>
      </c>
      <c r="G60" s="6">
        <v>0.0</v>
      </c>
      <c r="H60" s="7">
        <v>5.0</v>
      </c>
      <c r="I60" s="6">
        <f>IF(COUNTIF(D60,"*UG*"),ROUND(E60*'Parameters + Programme Summary'!$C$6,0) + ROUND(H60/'Parameters + Programme Summary'!$C$7,0),ROUND(E60*ROUND('Parameters + Programme Summary'!$C$5 / 'Parameters + Programme Summary'!$C$7,0),0)+ROUND(E60*'Parameters + Programme Summary'!$C$6,0))</f>
        <v>4</v>
      </c>
      <c r="J60" s="6">
        <v>0.0</v>
      </c>
      <c r="K60" s="6">
        <f t="shared" si="2"/>
        <v>4</v>
      </c>
      <c r="L60" s="13" t="s">
        <v>224</v>
      </c>
      <c r="M60" s="8" t="s">
        <v>225</v>
      </c>
    </row>
    <row r="61" ht="15.75" customHeight="1">
      <c r="A61" s="6" t="s">
        <v>226</v>
      </c>
      <c r="B61" s="6" t="s">
        <v>227</v>
      </c>
      <c r="C61" s="6" t="s">
        <v>228</v>
      </c>
      <c r="D61" s="6" t="s">
        <v>42</v>
      </c>
      <c r="E61" s="6">
        <v>1.0</v>
      </c>
      <c r="F61" s="6">
        <f>IF(COUNTIF(D61,"*UG*"),ROUND(E61*'Parameters + Programme Summary'!$C$5,0),0)</f>
        <v>6</v>
      </c>
      <c r="G61" s="6">
        <v>0.0</v>
      </c>
      <c r="H61" s="7">
        <v>3.0</v>
      </c>
      <c r="I61" s="6">
        <f>IF(COUNTIF(D61,"*UG*"),ROUND(E61*'Parameters + Programme Summary'!$C$6,0) + ROUND(H61/'Parameters + Programme Summary'!$C$7,0),ROUND(E61*ROUND('Parameters + Programme Summary'!$C$5 / 'Parameters + Programme Summary'!$C$7,0),0)+ROUND(E61*'Parameters + Programme Summary'!$C$6,0))</f>
        <v>3</v>
      </c>
      <c r="J61" s="6">
        <v>0.0</v>
      </c>
      <c r="K61" s="6">
        <f t="shared" si="2"/>
        <v>6</v>
      </c>
      <c r="L61" s="6"/>
      <c r="M61" s="8" t="s">
        <v>225</v>
      </c>
    </row>
    <row r="62" ht="15.75" customHeight="1">
      <c r="A62" s="6" t="s">
        <v>229</v>
      </c>
      <c r="B62" s="6" t="s">
        <v>230</v>
      </c>
      <c r="C62" s="6" t="s">
        <v>231</v>
      </c>
      <c r="D62" s="7" t="s">
        <v>59</v>
      </c>
      <c r="E62" s="7">
        <v>0.75</v>
      </c>
      <c r="F62" s="6">
        <f>IF(COUNTIF(D62,"*UG*"),ROUND(E62*'Parameters + Programme Summary'!$C$5,0),0)</f>
        <v>5</v>
      </c>
      <c r="G62" s="7">
        <v>0.0</v>
      </c>
      <c r="H62" s="7">
        <v>0.0</v>
      </c>
      <c r="I62" s="6">
        <f>IF(COUNTIF(D62,"*UG*"),ROUND(E62*'Parameters + Programme Summary'!$C$6,0) + ROUND(H62/'Parameters + Programme Summary'!$C$7,0),ROUND(E62*ROUND('Parameters + Programme Summary'!$C$5 / 'Parameters + Programme Summary'!$C$7,0),0)+ROUND(E62*'Parameters + Programme Summary'!$C$6,0))</f>
        <v>1</v>
      </c>
      <c r="J62" s="6">
        <v>0.0</v>
      </c>
      <c r="K62" s="6">
        <f t="shared" si="2"/>
        <v>6</v>
      </c>
    </row>
    <row r="63" ht="15.75" customHeight="1">
      <c r="A63" s="6" t="s">
        <v>232</v>
      </c>
      <c r="B63" s="6" t="s">
        <v>233</v>
      </c>
      <c r="C63" s="6" t="s">
        <v>234</v>
      </c>
      <c r="D63" s="6" t="s">
        <v>32</v>
      </c>
      <c r="E63" s="7">
        <v>0.75</v>
      </c>
      <c r="F63" s="6">
        <f>IF(COUNTIF(D63,"*UG*"),ROUND(E63*'Parameters + Programme Summary'!$C$5,0),0)</f>
        <v>5</v>
      </c>
      <c r="G63" s="6">
        <v>0.0</v>
      </c>
      <c r="H63" s="6">
        <v>0.0</v>
      </c>
      <c r="I63" s="6">
        <f>IF(COUNTIF(D63,"*UG*"),ROUND(E63*'Parameters + Programme Summary'!$C$6,0) + ROUND(H63/'Parameters + Programme Summary'!$C$7,0),ROUND(E63*ROUND('Parameters + Programme Summary'!$C$5 / 'Parameters + Programme Summary'!$C$7,0),0)+ROUND(E63*'Parameters + Programme Summary'!$C$6,0))</f>
        <v>1</v>
      </c>
      <c r="J63" s="6">
        <v>0.0</v>
      </c>
      <c r="K63" s="6">
        <f t="shared" si="2"/>
        <v>6</v>
      </c>
      <c r="L63" s="13" t="s">
        <v>235</v>
      </c>
      <c r="M63" s="8" t="s">
        <v>236</v>
      </c>
    </row>
    <row r="64" ht="15.75" customHeight="1">
      <c r="A64" s="6" t="s">
        <v>237</v>
      </c>
      <c r="B64" s="6" t="s">
        <v>238</v>
      </c>
      <c r="C64" s="6" t="s">
        <v>239</v>
      </c>
      <c r="D64" s="7" t="s">
        <v>24</v>
      </c>
      <c r="E64" s="7">
        <v>0.75</v>
      </c>
      <c r="F64" s="6">
        <f>IF(COUNTIF(D64,"*UG*"),ROUND(E64*'Parameters + Programme Summary'!$C$5,0),0)</f>
        <v>5</v>
      </c>
      <c r="G64" s="6">
        <v>0.0</v>
      </c>
      <c r="H64" s="7">
        <v>3.0</v>
      </c>
      <c r="I64" s="6">
        <f>IF(COUNTIF(D64,"*UG*"),ROUND(E64*'Parameters + Programme Summary'!$C$6,0) + ROUND(H64/'Parameters + Programme Summary'!$C$7,0),ROUND(E64*ROUND('Parameters + Programme Summary'!$C$5 / 'Parameters + Programme Summary'!$C$7,0),0)+ROUND(E64*'Parameters + Programme Summary'!$C$6,0))</f>
        <v>3</v>
      </c>
      <c r="J64" s="6">
        <v>0.0</v>
      </c>
      <c r="K64" s="6">
        <f t="shared" si="2"/>
        <v>5</v>
      </c>
      <c r="M64" s="8" t="s">
        <v>240</v>
      </c>
    </row>
    <row r="65" ht="15.75" customHeight="1">
      <c r="A65" s="15" t="s">
        <v>241</v>
      </c>
      <c r="B65" s="15" t="s">
        <v>242</v>
      </c>
      <c r="C65" s="15" t="s">
        <v>243</v>
      </c>
      <c r="D65" s="16" t="s">
        <v>97</v>
      </c>
      <c r="E65" s="16">
        <v>0.5</v>
      </c>
      <c r="F65" s="15">
        <f>IF(COUNTIF(D65,"*UG*"),ROUND(E65*'Parameters + Programme Summary'!$C$5,0),0)</f>
        <v>3</v>
      </c>
      <c r="G65" s="15">
        <v>0.0</v>
      </c>
      <c r="H65" s="16">
        <v>1.0</v>
      </c>
      <c r="I65" s="15">
        <f>IF(COUNTIF(D65,"*UG*"),ROUND(E65*'Parameters + Programme Summary'!$C$6,0) + ROUND(H65/'Parameters + Programme Summary'!$C$7,0),ROUND(E65*ROUND('Parameters + Programme Summary'!$C$5 / 'Parameters + Programme Summary'!$C$7,0),0)+ROUND(E65*'Parameters + Programme Summary'!$C$6,0))</f>
        <v>2</v>
      </c>
      <c r="J65" s="15">
        <v>0.0</v>
      </c>
      <c r="K65" s="15">
        <f t="shared" si="2"/>
        <v>4</v>
      </c>
      <c r="L65" s="17" t="s">
        <v>244</v>
      </c>
      <c r="M65" s="18" t="s">
        <v>245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6" t="s">
        <v>246</v>
      </c>
      <c r="B66" s="6" t="s">
        <v>247</v>
      </c>
      <c r="C66" s="6" t="s">
        <v>248</v>
      </c>
      <c r="D66" s="6" t="s">
        <v>42</v>
      </c>
      <c r="E66" s="7">
        <v>1.0</v>
      </c>
      <c r="F66" s="6">
        <f>IF(COUNTIF(D66,"*UG*"),ROUND(E66*'Parameters + Programme Summary'!$C$5,0),0)</f>
        <v>6</v>
      </c>
      <c r="G66" s="6">
        <v>0.0</v>
      </c>
      <c r="H66" s="7">
        <v>2.0</v>
      </c>
      <c r="I66" s="6">
        <f>IF(COUNTIF(D66,"*UG*"),ROUND(E66*'Parameters + Programme Summary'!$C$6,0) + ROUND(H66/'Parameters + Programme Summary'!$C$7,0),ROUND(E66*ROUND('Parameters + Programme Summary'!$C$5 / 'Parameters + Programme Summary'!$C$7,0),0)+ROUND(E66*'Parameters + Programme Summary'!$C$6,0))</f>
        <v>2</v>
      </c>
      <c r="J66" s="6">
        <v>0.0</v>
      </c>
      <c r="K66" s="6">
        <f t="shared" si="2"/>
        <v>6</v>
      </c>
      <c r="M66" s="8" t="s">
        <v>249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7.33"/>
    <col customWidth="1" min="3" max="26" width="10.56"/>
  </cols>
  <sheetData>
    <row r="1" ht="15.75" customHeight="1"/>
    <row r="2" ht="15.75" customHeight="1"/>
    <row r="3" ht="15.75" customHeight="1"/>
    <row r="4" ht="15.75" customHeight="1">
      <c r="B4" s="20" t="s">
        <v>250</v>
      </c>
      <c r="C4" s="21"/>
    </row>
    <row r="5" ht="15.75" customHeight="1">
      <c r="B5" s="22" t="s">
        <v>251</v>
      </c>
      <c r="C5" s="23">
        <v>6.0</v>
      </c>
    </row>
    <row r="6" ht="15.75" customHeight="1">
      <c r="B6" s="22" t="s">
        <v>252</v>
      </c>
      <c r="C6" s="24">
        <v>1.0</v>
      </c>
    </row>
    <row r="7" ht="15.75" customHeight="1">
      <c r="B7" s="25" t="s">
        <v>253</v>
      </c>
      <c r="C7" s="26">
        <v>1.5</v>
      </c>
    </row>
    <row r="8" ht="15.75" customHeight="1"/>
    <row r="9" ht="15.75" customHeight="1">
      <c r="B9" s="20" t="s">
        <v>254</v>
      </c>
      <c r="C9" s="21"/>
    </row>
    <row r="10" ht="15.75" customHeight="1">
      <c r="B10" s="22" t="s">
        <v>255</v>
      </c>
      <c r="C10" s="27" t="s">
        <v>256</v>
      </c>
      <c r="D10" s="8" t="s">
        <v>257</v>
      </c>
    </row>
    <row r="11" ht="15.75" customHeight="1">
      <c r="B11" s="22" t="s">
        <v>258</v>
      </c>
      <c r="C11" s="24">
        <f>SUMIF('Advisor Loads'!$D$2:$D$100,"*"&amp;'Parameters + Programme Summary'!B11&amp;"*",'Advisor Loads'!$I$2:$I$61)+SUMIF('Advisor Loads'!$D$2:$D$61,"*"&amp;'Parameters + Programme Summary'!B11&amp;"*",'Advisor Loads'!$J$2:$J$61)</f>
        <v>23</v>
      </c>
      <c r="D11" s="8">
        <v>11.0</v>
      </c>
    </row>
    <row r="12" ht="15.75" customHeight="1">
      <c r="B12" s="22" t="s">
        <v>28</v>
      </c>
      <c r="C12" s="24">
        <f>SUMIF('Advisor Loads'!$D$2:$D$100,"*"&amp;'Parameters + Programme Summary'!B12&amp;"*",'Advisor Loads'!$I$2:$I$61)+SUMIF('Advisor Loads'!$D$2:$D$61,"*"&amp;'Parameters + Programme Summary'!B12&amp;"*",'Advisor Loads'!$J$2:$J$61)</f>
        <v>12</v>
      </c>
      <c r="D12" s="8">
        <v>7.0</v>
      </c>
    </row>
    <row r="13" ht="15.75" customHeight="1">
      <c r="B13" s="22" t="s">
        <v>259</v>
      </c>
      <c r="C13" s="24">
        <f>SUMIF('Advisor Loads'!$D$2:$D$100,"*"&amp;'Parameters + Programme Summary'!B13&amp;"*",'Advisor Loads'!$I$2:$I$61)+SUMIF('Advisor Loads'!$D$2:$D$61,"*"&amp;'Parameters + Programme Summary'!B13&amp;"*",'Advisor Loads'!$J$2:$J$61)</f>
        <v>16</v>
      </c>
      <c r="D13" s="8">
        <v>20.0</v>
      </c>
    </row>
    <row r="14" ht="15.75" customHeight="1">
      <c r="B14" s="22" t="s">
        <v>69</v>
      </c>
      <c r="C14" s="24">
        <f>SUMIF('Advisor Loads'!$D$2:$D$100,"*"&amp;'Parameters + Programme Summary'!B14&amp;"*",'Advisor Loads'!$I$2:$I$61)+SUMIF('Advisor Loads'!$D$2:$D$61,"*"&amp;'Parameters + Programme Summary'!B14&amp;"*",'Advisor Loads'!$J$2:$J$61)</f>
        <v>20</v>
      </c>
      <c r="D14" s="8">
        <v>11.0</v>
      </c>
    </row>
    <row r="15" ht="15.75" customHeight="1">
      <c r="B15" s="28" t="s">
        <v>260</v>
      </c>
      <c r="C15" s="24">
        <f>SUMIF('Advisor Loads'!$D$2:$D$100,"*"&amp;'Parameters + Programme Summary'!B15&amp;"*",'Advisor Loads'!$I$2:$I$61)+SUMIF('Advisor Loads'!$D$2:$D$61,"*"&amp;'Parameters + Programme Summary'!B15&amp;"*",'Advisor Loads'!$J$2:$J$61)</f>
        <v>18</v>
      </c>
      <c r="D15" s="8">
        <v>14.0</v>
      </c>
    </row>
    <row r="16" ht="15.75" customHeight="1">
      <c r="B16" s="28" t="s">
        <v>85</v>
      </c>
      <c r="C16" s="24">
        <f>SUMIF('Advisor Loads'!$D$2:$D$100,"*"&amp;'Parameters + Programme Summary'!B16&amp;"*",'Advisor Loads'!$I$2:$I$61)+SUMIF('Advisor Loads'!$D$2:$D$61,"*"&amp;'Parameters + Programme Summary'!B16&amp;"*",'Advisor Loads'!$J$2:$J$61)</f>
        <v>14</v>
      </c>
      <c r="D16" s="8">
        <v>13.0</v>
      </c>
    </row>
    <row r="17" ht="15.75" customHeight="1">
      <c r="B17" s="22"/>
      <c r="C17" s="24"/>
    </row>
    <row r="18" ht="15.75" customHeight="1">
      <c r="B18" s="22" t="s">
        <v>261</v>
      </c>
      <c r="C18" s="24"/>
    </row>
    <row r="19" ht="15.75" customHeight="1">
      <c r="B19" s="22" t="s">
        <v>124</v>
      </c>
      <c r="C19" s="24">
        <f>SUMIF('Advisor Loads'!$D$2:$D$100,"*"&amp;'Parameters + Programme Summary'!B19&amp;"*",'Advisor Loads'!$F$2:$F$100)+SUMIF('Advisor Loads'!$D$2:$D$100,"*"&amp;'Parameters + Programme Summary'!B19&amp;"*",'Advisor Loads'!$G$2:$G$100)-SUMIF('Advisor Loads'!$D$2:$D$100,"*"&amp;'Parameters + Programme Summary'!B19&amp;"*",'Advisor Loads'!$H$2:$H$100)</f>
        <v>177</v>
      </c>
    </row>
    <row r="20" ht="15.75" customHeight="1">
      <c r="B20" s="25" t="s">
        <v>262</v>
      </c>
      <c r="C20" s="26">
        <f>SUM(C11:C16)</f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2021-12-16T08:57:28Z</dcterms:created>
  <dc:creator>Microsoft Office User</dc:creator>
</cp:coreProperties>
</file>